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0" windowWidth="20115" windowHeight="8520" activeTab="1"/>
  </bookViews>
  <sheets>
    <sheet name="Home" sheetId="1" r:id="rId1"/>
    <sheet name="Invast" sheetId="5" r:id="rId2"/>
    <sheet name="Tank info" sheetId="2" r:id="rId3"/>
    <sheet name="Fish Calculation" sheetId="3" r:id="rId4"/>
    <sheet name="Cheamical Info" sheetId="7" r:id="rId5"/>
    <sheet name="Income" sheetId="4" r:id="rId6"/>
    <sheet name="Lose!!!" sheetId="6" r:id="rId7"/>
  </sheets>
  <functionGroups builtInGroupCount="17"/>
  <definedNames>
    <definedName name="Login.accdb" localSheetId="1" hidden="1">Invast!$B$5:$D$7</definedName>
  </definedNames>
  <calcPr calcId="144525"/>
</workbook>
</file>

<file path=xl/calcChain.xml><?xml version="1.0" encoding="utf-8"?>
<calcChain xmlns="http://schemas.openxmlformats.org/spreadsheetml/2006/main">
  <c r="F4" i="5" l="1"/>
  <c r="D4" i="5"/>
  <c r="O8" i="2" l="1"/>
  <c r="P20" i="2"/>
  <c r="N21" i="2"/>
  <c r="K11" i="2"/>
  <c r="I16" i="2"/>
  <c r="I17" i="2"/>
  <c r="I15" i="2"/>
  <c r="I19" i="2"/>
  <c r="I18" i="2"/>
  <c r="I14" i="2"/>
  <c r="G2" i="5"/>
  <c r="H2" i="5"/>
  <c r="O11" i="2" l="1"/>
  <c r="O12" i="2"/>
  <c r="O15" i="2" s="1"/>
  <c r="O16" i="2" l="1"/>
  <c r="O14" i="2"/>
</calcChain>
</file>

<file path=xl/connections.xml><?xml version="1.0" encoding="utf-8"?>
<connections xmlns="http://schemas.openxmlformats.org/spreadsheetml/2006/main">
  <connection id="1" sourceFile="D:\class\Access\Login.accdb" keepAlive="1" name="Login" type="5" refreshedVersion="4" background="1" saveData="1">
    <dbPr connection="Provider=Microsoft.ACE.OLEDB.12.0;User ID=Admin;Data Source=D:\class\Access\Login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Login DB" commandType="3"/>
  </connection>
</connections>
</file>

<file path=xl/sharedStrings.xml><?xml version="1.0" encoding="utf-8"?>
<sst xmlns="http://schemas.openxmlformats.org/spreadsheetml/2006/main" count="62" uniqueCount="52">
  <si>
    <t>Tank Shape</t>
  </si>
  <si>
    <t>Please enter you Invast</t>
  </si>
  <si>
    <t>Rectangular Tank</t>
  </si>
  <si>
    <t>Cylinder Tank</t>
  </si>
  <si>
    <t>Volume V =</t>
  </si>
  <si>
    <t>lwh</t>
  </si>
  <si>
    <t>2(lw+lh+wh)</t>
  </si>
  <si>
    <t>l</t>
  </si>
  <si>
    <t>w</t>
  </si>
  <si>
    <t>h</t>
  </si>
  <si>
    <t>Width</t>
  </si>
  <si>
    <t>Height</t>
  </si>
  <si>
    <t>Length</t>
  </si>
  <si>
    <t>Surface area A=</t>
  </si>
  <si>
    <t>2πr( h + r )</t>
  </si>
  <si>
    <t>Radius</t>
  </si>
  <si>
    <t>r</t>
  </si>
  <si>
    <t>Tank Shape Water Capacity Calculation</t>
  </si>
  <si>
    <t>Length of the tank</t>
  </si>
  <si>
    <t>Width of the tank</t>
  </si>
  <si>
    <t>Height of the tank</t>
  </si>
  <si>
    <t>Filled Depth of the tank</t>
  </si>
  <si>
    <t>Diameter of the tank</t>
  </si>
  <si>
    <t>Total Tank Capacity</t>
  </si>
  <si>
    <t>Filled Capacity</t>
  </si>
  <si>
    <t xml:space="preserve">Volume/Water </t>
  </si>
  <si>
    <t>Radius of the Tank</t>
  </si>
  <si>
    <t>π                  =</t>
  </si>
  <si>
    <t>Total Tank Capacity In Gallons</t>
  </si>
  <si>
    <t>Only Water In Liters</t>
  </si>
  <si>
    <t>Only Water In Gallons</t>
  </si>
  <si>
    <t>1CubicFooT=28.34 LITRES</t>
  </si>
  <si>
    <t>Start Date</t>
  </si>
  <si>
    <t>EndDate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</si>
  <si>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</si>
  <si>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</si>
  <si>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</si>
  <si>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</si>
  <si>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</si>
  <si>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</si>
  <si>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</si>
  <si>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</si>
  <si>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</si>
  <si>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</si>
  <si>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</si>
  <si>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</si>
  <si>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ID</t>
  </si>
  <si>
    <t>Login ID</t>
  </si>
  <si>
    <t>Password</t>
  </si>
  <si>
    <t>2020</t>
  </si>
  <si>
    <t>Access</t>
  </si>
  <si>
    <t>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</si>
</sst>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3" formatCode="_ * #,##0.00_ ;_ * \-#,##0.00_ ;_ * &quot;-&quot;??_ ;_ @_ "/>
    <numFmt numFmtId="164" formatCode="_ * #,##0_ ;_ * \-#,##0_ ;_ * &quot;-&quot;??_ ;_ @_ "/>
    <numFmt numFmtId="165" formatCode="0\ &quot;m&quot;"/>
    <numFmt numFmtId="166" formatCode="0\ &quot;cm&quot;"/>
    <numFmt numFmtId="167" formatCode="0&quot;g&quot;"/>
    <numFmt numFmtId="168" formatCode="0&quot;kg&quot;"/>
    <numFmt numFmtId="169" formatCode="0.000&quot;kg&quot;"/>
    <numFmt numFmtId="170" formatCode="0&quot;cm&quot;"/>
    <numFmt numFmtId="171" formatCode="0.00&quot;m&quot;"/>
    <numFmt numFmtId="172" formatCode="0\ &quot;inch&quot;"/>
    <numFmt numFmtId="173" formatCode="0.0"/>
    <numFmt numFmtId="174" formatCode="0\ &quot;Feet&quot;"/>
    <numFmt numFmtId="175" formatCode="0.000&quot;CFT&quot;"/>
    <numFmt numFmtId="176" formatCode="0.0\ &quot;LI&quot;"/>
    <numFmt numFmtId="177" formatCode="0000.00\ &quot;Gal&quot;"/>
    <numFmt numFmtId="178" formatCode="0.0\ &quot;Feet&quot;"/>
    <numFmt numFmtId="180" formatCode="[$-F800]dddd\,\ mmmm\ dd\,\ yyyy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b/>
      <u val="double"/>
      <sz val="11"/>
      <color theme="1"/>
      <name val="Calibri"/>
      <family val="2"/>
      <scheme val="minor"/>
    </font>
    <font>
      <b/>
      <u val="double"/>
      <sz val="12"/>
      <name val="Calibri"/>
      <family val="2"/>
      <scheme val="minor"/>
    </font>
    <font>
      <b/>
      <u val="double"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u val="doubleAccounting"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22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u/>
      <sz val="11"/>
      <color theme="1" tint="4.9989318521683403E-2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117">
    <xf numFmtId="0" fontId="0" fillId="0" borderId="0" xfId="0"/>
    <xf numFmtId="0" fontId="3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/>
    </xf>
    <xf numFmtId="166" fontId="1" fillId="2" borderId="11" xfId="0" applyNumberFormat="1" applyFont="1" applyFill="1" applyBorder="1" applyAlignment="1">
      <alignment horizontal="center" vertical="center"/>
    </xf>
    <xf numFmtId="169" fontId="8" fillId="2" borderId="11" xfId="0" applyNumberFormat="1" applyFont="1" applyFill="1" applyBorder="1" applyAlignment="1">
      <alignment horizontal="center" vertical="center"/>
    </xf>
    <xf numFmtId="171" fontId="1" fillId="2" borderId="11" xfId="0" applyNumberFormat="1" applyFont="1" applyFill="1" applyBorder="1" applyAlignment="1">
      <alignment horizontal="center" vertical="center"/>
    </xf>
    <xf numFmtId="172" fontId="1" fillId="2" borderId="11" xfId="0" applyNumberFormat="1" applyFont="1" applyFill="1" applyBorder="1" applyAlignment="1">
      <alignment horizontal="center" vertical="center"/>
    </xf>
    <xf numFmtId="0" fontId="12" fillId="0" borderId="16" xfId="0" applyFont="1" applyFill="1" applyBorder="1" applyAlignment="1">
      <alignment vertical="center"/>
    </xf>
    <xf numFmtId="0" fontId="0" fillId="0" borderId="15" xfId="0" applyBorder="1"/>
    <xf numFmtId="0" fontId="0" fillId="0" borderId="35" xfId="0" applyBorder="1" applyAlignment="1">
      <alignment vertical="center"/>
    </xf>
    <xf numFmtId="0" fontId="0" fillId="0" borderId="36" xfId="0" applyBorder="1"/>
    <xf numFmtId="1" fontId="0" fillId="0" borderId="11" xfId="0" applyNumberFormat="1" applyBorder="1" applyAlignment="1">
      <alignment vertical="center"/>
    </xf>
    <xf numFmtId="174" fontId="1" fillId="2" borderId="11" xfId="0" applyNumberFormat="1" applyFont="1" applyFill="1" applyBorder="1" applyAlignment="1">
      <alignment horizontal="center" vertical="center"/>
    </xf>
    <xf numFmtId="167" fontId="1" fillId="2" borderId="21" xfId="0" applyNumberFormat="1" applyFont="1" applyFill="1" applyBorder="1" applyAlignment="1">
      <alignment horizontal="center" vertical="center"/>
    </xf>
    <xf numFmtId="165" fontId="1" fillId="3" borderId="11" xfId="0" applyNumberFormat="1" applyFont="1" applyFill="1" applyBorder="1" applyAlignment="1">
      <alignment horizontal="center" vertical="center"/>
    </xf>
    <xf numFmtId="170" fontId="1" fillId="3" borderId="11" xfId="0" applyNumberFormat="1" applyFont="1" applyFill="1" applyBorder="1" applyAlignment="1">
      <alignment horizontal="center" vertical="center"/>
    </xf>
    <xf numFmtId="174" fontId="1" fillId="3" borderId="11" xfId="0" applyNumberFormat="1" applyFont="1" applyFill="1" applyBorder="1" applyAlignment="1">
      <alignment horizontal="center" vertical="center"/>
    </xf>
    <xf numFmtId="172" fontId="1" fillId="3" borderId="11" xfId="0" applyNumberFormat="1" applyFont="1" applyFill="1" applyBorder="1" applyAlignment="1">
      <alignment horizontal="center" vertical="center"/>
    </xf>
    <xf numFmtId="167" fontId="8" fillId="3" borderId="11" xfId="0" applyNumberFormat="1" applyFont="1" applyFill="1" applyBorder="1" applyAlignment="1">
      <alignment horizontal="center" vertical="center"/>
    </xf>
    <xf numFmtId="168" fontId="1" fillId="3" borderId="21" xfId="0" applyNumberFormat="1" applyFont="1" applyFill="1" applyBorder="1" applyAlignment="1">
      <alignment horizontal="center" vertical="center"/>
    </xf>
    <xf numFmtId="175" fontId="0" fillId="0" borderId="37" xfId="0" applyNumberFormat="1" applyBorder="1" applyAlignment="1">
      <alignment vertical="center"/>
    </xf>
    <xf numFmtId="0" fontId="0" fillId="0" borderId="35" xfId="0" applyBorder="1"/>
    <xf numFmtId="176" fontId="0" fillId="0" borderId="16" xfId="0" applyNumberFormat="1" applyBorder="1"/>
    <xf numFmtId="177" fontId="0" fillId="0" borderId="16" xfId="0" applyNumberFormat="1" applyBorder="1"/>
    <xf numFmtId="178" fontId="0" fillId="0" borderId="16" xfId="0" applyNumberFormat="1" applyBorder="1" applyAlignment="1">
      <alignment horizontal="right" vertical="center"/>
    </xf>
    <xf numFmtId="174" fontId="1" fillId="3" borderId="16" xfId="0" applyNumberFormat="1" applyFont="1" applyFill="1" applyBorder="1" applyAlignment="1">
      <alignment horizontal="right" vertical="center"/>
    </xf>
    <xf numFmtId="0" fontId="8" fillId="3" borderId="16" xfId="0" applyFont="1" applyFill="1" applyBorder="1" applyAlignment="1">
      <alignment vertical="top"/>
    </xf>
    <xf numFmtId="0" fontId="4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164" fontId="7" fillId="2" borderId="8" xfId="1" applyNumberFormat="1" applyFont="1" applyFill="1" applyBorder="1" applyAlignment="1">
      <alignment horizontal="center" vertical="center"/>
    </xf>
    <xf numFmtId="164" fontId="7" fillId="2" borderId="9" xfId="1" applyNumberFormat="1" applyFont="1" applyFill="1" applyBorder="1" applyAlignment="1">
      <alignment horizontal="center" vertical="center"/>
    </xf>
    <xf numFmtId="0" fontId="0" fillId="0" borderId="3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5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15" xfId="0" applyBorder="1" applyAlignment="1">
      <alignment horizontal="center"/>
    </xf>
    <xf numFmtId="0" fontId="0" fillId="0" borderId="11" xfId="0" applyBorder="1" applyAlignment="1">
      <alignment horizontal="center"/>
    </xf>
    <xf numFmtId="177" fontId="0" fillId="0" borderId="16" xfId="0" applyNumberFormat="1" applyBorder="1" applyAlignment="1">
      <alignment horizontal="center" vertical="center"/>
    </xf>
    <xf numFmtId="177" fontId="0" fillId="0" borderId="18" xfId="0" applyNumberFormat="1" applyBorder="1" applyAlignment="1">
      <alignment horizontal="center" vertical="center"/>
    </xf>
    <xf numFmtId="0" fontId="0" fillId="4" borderId="22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1" fillId="2" borderId="15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1" fillId="2" borderId="15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173" fontId="0" fillId="4" borderId="37" xfId="0" applyNumberFormat="1" applyFill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1" fillId="2" borderId="19" xfId="0" applyFont="1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0" fillId="3" borderId="11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9" fillId="2" borderId="1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2" fillId="2" borderId="28" xfId="0" applyFont="1" applyFill="1" applyBorder="1" applyAlignment="1">
      <alignment horizontal="center" vertical="center"/>
    </xf>
    <xf numFmtId="0" fontId="12" fillId="2" borderId="14" xfId="0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2" fillId="2" borderId="30" xfId="0" applyFont="1" applyFill="1" applyBorder="1" applyAlignment="1">
      <alignment horizontal="center" vertical="center"/>
    </xf>
    <xf numFmtId="0" fontId="12" fillId="2" borderId="31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wrapText="1"/>
    </xf>
    <xf numFmtId="0" fontId="1" fillId="2" borderId="11" xfId="0" applyFont="1" applyFill="1" applyBorder="1" applyAlignment="1">
      <alignment horizontal="center" wrapText="1"/>
    </xf>
    <xf numFmtId="174" fontId="1" fillId="3" borderId="16" xfId="0" applyNumberFormat="1" applyFont="1" applyFill="1" applyBorder="1" applyAlignment="1">
      <alignment horizontal="right" vertical="center"/>
    </xf>
    <xf numFmtId="164" fontId="15" fillId="0" borderId="1" xfId="1" applyNumberFormat="1" applyFont="1" applyBorder="1" applyAlignment="1">
      <alignment horizontal="center" vertical="center"/>
    </xf>
    <xf numFmtId="164" fontId="15" fillId="0" borderId="2" xfId="1" applyNumberFormat="1" applyFont="1" applyBorder="1" applyAlignment="1">
      <alignment horizontal="center" vertical="center"/>
    </xf>
    <xf numFmtId="164" fontId="15" fillId="0" borderId="3" xfId="1" applyNumberFormat="1" applyFont="1" applyBorder="1" applyAlignment="1">
      <alignment horizontal="center" vertical="center"/>
    </xf>
    <xf numFmtId="164" fontId="15" fillId="0" borderId="4" xfId="1" applyNumberFormat="1" applyFont="1" applyBorder="1" applyAlignment="1">
      <alignment horizontal="center" vertical="center"/>
    </xf>
    <xf numFmtId="164" fontId="15" fillId="0" borderId="5" xfId="1" applyNumberFormat="1" applyFont="1" applyBorder="1" applyAlignment="1">
      <alignment horizontal="center" vertical="center"/>
    </xf>
    <xf numFmtId="164" fontId="15" fillId="0" borderId="6" xfId="1" applyNumberFormat="1" applyFont="1" applyBorder="1" applyAlignment="1">
      <alignment horizontal="center" vertical="center"/>
    </xf>
    <xf numFmtId="180" fontId="0" fillId="5" borderId="11" xfId="0" applyNumberForma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0" fontId="13" fillId="2" borderId="39" xfId="0" applyFont="1" applyFill="1" applyBorder="1" applyAlignment="1">
      <alignment horizontal="center" vertical="center"/>
    </xf>
    <xf numFmtId="0" fontId="14" fillId="2" borderId="39" xfId="0" applyFont="1" applyFill="1" applyBorder="1"/>
    <xf numFmtId="180" fontId="0" fillId="5" borderId="21" xfId="0" applyNumberForma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1"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heamical Info'!A1"/><Relationship Id="rId2" Type="http://schemas.openxmlformats.org/officeDocument/2006/relationships/hyperlink" Target="#Income!A1"/><Relationship Id="rId1" Type="http://schemas.openxmlformats.org/officeDocument/2006/relationships/hyperlink" Target="#'Tank info'!A1"/><Relationship Id="rId6" Type="http://schemas.openxmlformats.org/officeDocument/2006/relationships/hyperlink" Target="#Invast!A1"/><Relationship Id="rId5" Type="http://schemas.openxmlformats.org/officeDocument/2006/relationships/hyperlink" Target="#'Fish Calculation'!A1"/><Relationship Id="rId4" Type="http://schemas.openxmlformats.org/officeDocument/2006/relationships/hyperlink" Target="#'Lose!!!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2</xdr:row>
      <xdr:rowOff>180975</xdr:rowOff>
    </xdr:from>
    <xdr:to>
      <xdr:col>19</xdr:col>
      <xdr:colOff>590550</xdr:colOff>
      <xdr:row>17</xdr:row>
      <xdr:rowOff>19050</xdr:rowOff>
    </xdr:to>
    <xdr:grpSp>
      <xdr:nvGrpSpPr>
        <xdr:cNvPr id="14" name="Group 13"/>
        <xdr:cNvGrpSpPr/>
      </xdr:nvGrpSpPr>
      <xdr:grpSpPr>
        <a:xfrm>
          <a:off x="1847850" y="561975"/>
          <a:ext cx="9448800" cy="2714625"/>
          <a:chOff x="1238250" y="180975"/>
          <a:chExt cx="9448800" cy="2714625"/>
        </a:xfrm>
      </xdr:grpSpPr>
      <xdr:sp macro="" textlink="">
        <xdr:nvSpPr>
          <xdr:cNvPr id="3" name="Rectangle 2">
            <a:hlinkClick xmlns:r="http://schemas.openxmlformats.org/officeDocument/2006/relationships" r:id="rId1"/>
          </xdr:cNvPr>
          <xdr:cNvSpPr/>
        </xdr:nvSpPr>
        <xdr:spPr>
          <a:xfrm>
            <a:off x="1238250" y="1743075"/>
            <a:ext cx="3009900" cy="1152525"/>
          </a:xfrm>
          <a:prstGeom prst="rect">
            <a:avLst/>
          </a:prstGeom>
          <a:solidFill>
            <a:srgbClr val="FFFF00"/>
          </a:solidFill>
          <a:ln w="762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4800" b="1" u="dbl">
                <a:solidFill>
                  <a:schemeClr val="tx1"/>
                </a:solidFill>
              </a:rPr>
              <a:t>Tank Info</a:t>
            </a:r>
          </a:p>
        </xdr:txBody>
      </xdr:sp>
      <xdr:sp macro="" textlink="">
        <xdr:nvSpPr>
          <xdr:cNvPr id="9" name="Rectangle 8">
            <a:hlinkClick xmlns:r="http://schemas.openxmlformats.org/officeDocument/2006/relationships" r:id="rId2"/>
          </xdr:cNvPr>
          <xdr:cNvSpPr/>
        </xdr:nvSpPr>
        <xdr:spPr>
          <a:xfrm>
            <a:off x="4467225" y="1733550"/>
            <a:ext cx="3009900" cy="1152525"/>
          </a:xfrm>
          <a:prstGeom prst="rect">
            <a:avLst/>
          </a:prstGeom>
          <a:solidFill>
            <a:srgbClr val="FFFF00"/>
          </a:solidFill>
          <a:ln w="762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5400" b="1" u="dbl">
                <a:solidFill>
                  <a:schemeClr val="tx1"/>
                </a:solidFill>
              </a:rPr>
              <a:t>Income</a:t>
            </a:r>
          </a:p>
        </xdr:txBody>
      </xdr:sp>
      <xdr:sp macro="" textlink="">
        <xdr:nvSpPr>
          <xdr:cNvPr id="10" name="Rectangle 9">
            <a:hlinkClick xmlns:r="http://schemas.openxmlformats.org/officeDocument/2006/relationships" r:id="rId3"/>
          </xdr:cNvPr>
          <xdr:cNvSpPr/>
        </xdr:nvSpPr>
        <xdr:spPr>
          <a:xfrm>
            <a:off x="7677150" y="209550"/>
            <a:ext cx="3009900" cy="1152525"/>
          </a:xfrm>
          <a:prstGeom prst="rect">
            <a:avLst/>
          </a:prstGeom>
          <a:solidFill>
            <a:srgbClr val="FFFF00"/>
          </a:solidFill>
          <a:ln w="762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3600" b="1" u="dbl">
                <a:solidFill>
                  <a:schemeClr val="tx1"/>
                </a:solidFill>
              </a:rPr>
              <a:t>Cheamical Info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4"/>
          </xdr:cNvPr>
          <xdr:cNvSpPr/>
        </xdr:nvSpPr>
        <xdr:spPr>
          <a:xfrm>
            <a:off x="7677150" y="1743075"/>
            <a:ext cx="3009900" cy="1152525"/>
          </a:xfrm>
          <a:prstGeom prst="rect">
            <a:avLst/>
          </a:prstGeom>
          <a:solidFill>
            <a:srgbClr val="FF0000"/>
          </a:solidFill>
          <a:ln w="762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5400" b="1" u="dbl">
                <a:solidFill>
                  <a:schemeClr val="tx1">
                    <a:lumMod val="95000"/>
                    <a:lumOff val="5000"/>
                  </a:schemeClr>
                </a:solidFill>
              </a:rPr>
              <a:t>Loss!!!</a:t>
            </a:r>
          </a:p>
        </xdr:txBody>
      </xdr:sp>
      <xdr:sp macro="" textlink="">
        <xdr:nvSpPr>
          <xdr:cNvPr id="12" name="Rectangle 11">
            <a:hlinkClick xmlns:r="http://schemas.openxmlformats.org/officeDocument/2006/relationships" r:id="rId5"/>
          </xdr:cNvPr>
          <xdr:cNvSpPr/>
        </xdr:nvSpPr>
        <xdr:spPr>
          <a:xfrm>
            <a:off x="4457700" y="180975"/>
            <a:ext cx="3009900" cy="1152525"/>
          </a:xfrm>
          <a:prstGeom prst="rect">
            <a:avLst/>
          </a:prstGeom>
          <a:solidFill>
            <a:srgbClr val="FFFF00"/>
          </a:solidFill>
          <a:ln w="762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3200" b="1" u="dbl">
                <a:solidFill>
                  <a:schemeClr val="tx1"/>
                </a:solidFill>
              </a:rPr>
              <a:t>Fish Calculation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6"/>
          </xdr:cNvPr>
          <xdr:cNvSpPr/>
        </xdr:nvSpPr>
        <xdr:spPr>
          <a:xfrm>
            <a:off x="1238250" y="200025"/>
            <a:ext cx="3009900" cy="1152525"/>
          </a:xfrm>
          <a:prstGeom prst="rect">
            <a:avLst/>
          </a:prstGeom>
          <a:solidFill>
            <a:srgbClr val="FFFF00"/>
          </a:solidFill>
          <a:ln w="762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5400" b="1" i="0" u="dbl">
                <a:solidFill>
                  <a:schemeClr val="tx1"/>
                </a:solidFill>
              </a:rPr>
              <a:t>Invast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190500</xdr:colOff>
      <xdr:row>1</xdr:row>
      <xdr:rowOff>47625</xdr:rowOff>
    </xdr:from>
    <xdr:to>
      <xdr:col>18</xdr:col>
      <xdr:colOff>455930</xdr:colOff>
      <xdr:row>8</xdr:row>
      <xdr:rowOff>128270</xdr:rowOff>
    </xdr:to>
    <xdr:grpSp>
      <xdr:nvGrpSpPr>
        <xdr:cNvPr id="17" name="Group 16">
          <a:hlinkClick xmlns:r="http://schemas.openxmlformats.org/officeDocument/2006/relationships" r:id="rId1"/>
        </xdr:cNvPr>
        <xdr:cNvGrpSpPr/>
      </xdr:nvGrpSpPr>
      <xdr:grpSpPr>
        <a:xfrm>
          <a:off x="10558096" y="245452"/>
          <a:ext cx="1481699" cy="1472760"/>
          <a:chOff x="0" y="0"/>
          <a:chExt cx="3299155" cy="2940710"/>
        </a:xfrm>
      </xdr:grpSpPr>
      <xdr:sp macro="" textlink="">
        <xdr:nvSpPr>
          <xdr:cNvPr id="18" name="Rounded Rectangle 17"/>
          <xdr:cNvSpPr/>
        </xdr:nvSpPr>
        <xdr:spPr>
          <a:xfrm>
            <a:off x="0" y="0"/>
            <a:ext cx="3299155" cy="2940710"/>
          </a:xfrm>
          <a:prstGeom prst="roundRect">
            <a:avLst/>
          </a:prstGeom>
          <a:solidFill>
            <a:schemeClr val="tx2">
              <a:lumMod val="60000"/>
              <a:lumOff val="40000"/>
            </a:schemeClr>
          </a:solidFill>
          <a:ln w="76200">
            <a:solidFill>
              <a:schemeClr val="tx1"/>
            </a:solidFill>
          </a:ln>
          <a:scene3d>
            <a:camera prst="orthographicFront"/>
            <a:lightRig rig="threePt" dir="t"/>
          </a:scene3d>
          <a:sp3d>
            <a:bevelB h="12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endParaRPr lang="en-IN"/>
          </a:p>
        </xdr:txBody>
      </xdr:sp>
      <xdr:grpSp>
        <xdr:nvGrpSpPr>
          <xdr:cNvPr id="19" name="Group 18"/>
          <xdr:cNvGrpSpPr/>
        </xdr:nvGrpSpPr>
        <xdr:grpSpPr>
          <a:xfrm>
            <a:off x="205604" y="117044"/>
            <a:ext cx="2750516" cy="2634618"/>
            <a:chOff x="-21167" y="0"/>
            <a:chExt cx="2750516" cy="2634618"/>
          </a:xfrm>
        </xdr:grpSpPr>
        <xdr:sp macro="" textlink="">
          <xdr:nvSpPr>
            <xdr:cNvPr id="20" name="Pentagon 8"/>
            <xdr:cNvSpPr/>
          </xdr:nvSpPr>
          <xdr:spPr>
            <a:xfrm rot="16200000">
              <a:off x="226771" y="460858"/>
              <a:ext cx="2291389" cy="2056131"/>
            </a:xfrm>
            <a:custGeom>
              <a:avLst/>
              <a:gdLst>
                <a:gd name="connsiteX0" fmla="*/ 0 w 2171700"/>
                <a:gd name="connsiteY0" fmla="*/ 0 h 2056130"/>
                <a:gd name="connsiteX1" fmla="*/ 1143635 w 2171700"/>
                <a:gd name="connsiteY1" fmla="*/ 0 h 2056130"/>
                <a:gd name="connsiteX2" fmla="*/ 2171700 w 2171700"/>
                <a:gd name="connsiteY2" fmla="*/ 1028065 h 2056130"/>
                <a:gd name="connsiteX3" fmla="*/ 1143635 w 2171700"/>
                <a:gd name="connsiteY3" fmla="*/ 2056130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1700"/>
                <a:gd name="connsiteY0" fmla="*/ 0 h 2056130"/>
                <a:gd name="connsiteX1" fmla="*/ 1143635 w 2171700"/>
                <a:gd name="connsiteY1" fmla="*/ 0 h 2056130"/>
                <a:gd name="connsiteX2" fmla="*/ 2171700 w 2171700"/>
                <a:gd name="connsiteY2" fmla="*/ 1028065 h 2056130"/>
                <a:gd name="connsiteX3" fmla="*/ 1146480 w 2171700"/>
                <a:gd name="connsiteY3" fmla="*/ 1942008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1700"/>
                <a:gd name="connsiteY0" fmla="*/ 0 h 2056130"/>
                <a:gd name="connsiteX1" fmla="*/ 1146480 w 2171700"/>
                <a:gd name="connsiteY1" fmla="*/ 113208 h 2056130"/>
                <a:gd name="connsiteX2" fmla="*/ 2171700 w 2171700"/>
                <a:gd name="connsiteY2" fmla="*/ 1028065 h 2056130"/>
                <a:gd name="connsiteX3" fmla="*/ 1146480 w 2171700"/>
                <a:gd name="connsiteY3" fmla="*/ 1942008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5180"/>
                <a:gd name="connsiteY0" fmla="*/ 0 h 2056130"/>
                <a:gd name="connsiteX1" fmla="*/ 1146480 w 2175180"/>
                <a:gd name="connsiteY1" fmla="*/ 113208 h 2056130"/>
                <a:gd name="connsiteX2" fmla="*/ 2175180 w 2175180"/>
                <a:gd name="connsiteY2" fmla="*/ 1032180 h 2056130"/>
                <a:gd name="connsiteX3" fmla="*/ 1146480 w 2175180"/>
                <a:gd name="connsiteY3" fmla="*/ 1942008 h 2056130"/>
                <a:gd name="connsiteX4" fmla="*/ 0 w 2175180"/>
                <a:gd name="connsiteY4" fmla="*/ 2056130 h 2056130"/>
                <a:gd name="connsiteX5" fmla="*/ 0 w 2175180"/>
                <a:gd name="connsiteY5" fmla="*/ 0 h 2056130"/>
                <a:gd name="connsiteX0" fmla="*/ 0 w 2291389"/>
                <a:gd name="connsiteY0" fmla="*/ 0 h 2056130"/>
                <a:gd name="connsiteX1" fmla="*/ 1146480 w 2291389"/>
                <a:gd name="connsiteY1" fmla="*/ 113208 h 2056130"/>
                <a:gd name="connsiteX2" fmla="*/ 2291389 w 2291389"/>
                <a:gd name="connsiteY2" fmla="*/ 1030593 h 2056130"/>
                <a:gd name="connsiteX3" fmla="*/ 1146480 w 2291389"/>
                <a:gd name="connsiteY3" fmla="*/ 1942008 h 2056130"/>
                <a:gd name="connsiteX4" fmla="*/ 0 w 2291389"/>
                <a:gd name="connsiteY4" fmla="*/ 2056130 h 2056130"/>
                <a:gd name="connsiteX5" fmla="*/ 0 w 2291389"/>
                <a:gd name="connsiteY5" fmla="*/ 0 h 2056130"/>
                <a:gd name="connsiteX0" fmla="*/ 0 w 2291389"/>
                <a:gd name="connsiteY0" fmla="*/ 1 h 2056131"/>
                <a:gd name="connsiteX1" fmla="*/ 1147804 w 2291389"/>
                <a:gd name="connsiteY1" fmla="*/ 0 h 2056131"/>
                <a:gd name="connsiteX2" fmla="*/ 2291389 w 2291389"/>
                <a:gd name="connsiteY2" fmla="*/ 1030594 h 2056131"/>
                <a:gd name="connsiteX3" fmla="*/ 1146480 w 2291389"/>
                <a:gd name="connsiteY3" fmla="*/ 1942009 h 2056131"/>
                <a:gd name="connsiteX4" fmla="*/ 0 w 2291389"/>
                <a:gd name="connsiteY4" fmla="*/ 2056131 h 2056131"/>
                <a:gd name="connsiteX5" fmla="*/ 0 w 2291389"/>
                <a:gd name="connsiteY5" fmla="*/ 1 h 2056131"/>
                <a:gd name="connsiteX0" fmla="*/ 0 w 2291389"/>
                <a:gd name="connsiteY0" fmla="*/ 1 h 2056131"/>
                <a:gd name="connsiteX1" fmla="*/ 1147804 w 2291389"/>
                <a:gd name="connsiteY1" fmla="*/ 0 h 2056131"/>
                <a:gd name="connsiteX2" fmla="*/ 2291389 w 2291389"/>
                <a:gd name="connsiteY2" fmla="*/ 1030594 h 2056131"/>
                <a:gd name="connsiteX3" fmla="*/ 1147804 w 2291389"/>
                <a:gd name="connsiteY3" fmla="*/ 2056131 h 2056131"/>
                <a:gd name="connsiteX4" fmla="*/ 0 w 2291389"/>
                <a:gd name="connsiteY4" fmla="*/ 2056131 h 2056131"/>
                <a:gd name="connsiteX5" fmla="*/ 0 w 2291389"/>
                <a:gd name="connsiteY5" fmla="*/ 1 h 20561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2291389" h="2056131">
                  <a:moveTo>
                    <a:pt x="0" y="1"/>
                  </a:moveTo>
                  <a:lnTo>
                    <a:pt x="1147804" y="0"/>
                  </a:lnTo>
                  <a:lnTo>
                    <a:pt x="2291389" y="1030594"/>
                  </a:lnTo>
                  <a:lnTo>
                    <a:pt x="1147804" y="2056131"/>
                  </a:lnTo>
                  <a:lnTo>
                    <a:pt x="0" y="2056131"/>
                  </a:lnTo>
                  <a:lnTo>
                    <a:pt x="0" y="1"/>
                  </a:lnTo>
                  <a:close/>
                </a:path>
              </a:pathLst>
            </a:cu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21" name="Freeform 20"/>
            <xdr:cNvSpPr/>
          </xdr:nvSpPr>
          <xdr:spPr>
            <a:xfrm>
              <a:off x="-21167" y="0"/>
              <a:ext cx="2750516" cy="1492301"/>
            </a:xfrm>
            <a:custGeom>
              <a:avLst/>
              <a:gdLst>
                <a:gd name="connsiteX0" fmla="*/ 234087 w 2750516"/>
                <a:gd name="connsiteY0" fmla="*/ 1492300 h 1499616"/>
                <a:gd name="connsiteX1" fmla="*/ 0 w 2750516"/>
                <a:gd name="connsiteY1" fmla="*/ 1492300 h 1499616"/>
                <a:gd name="connsiteX2" fmla="*/ 1375258 w 2750516"/>
                <a:gd name="connsiteY2" fmla="*/ 0 h 1499616"/>
                <a:gd name="connsiteX3" fmla="*/ 2750516 w 2750516"/>
                <a:gd name="connsiteY3" fmla="*/ 1492300 h 1499616"/>
                <a:gd name="connsiteX4" fmla="*/ 2531060 w 2750516"/>
                <a:gd name="connsiteY4" fmla="*/ 1492300 h 1499616"/>
                <a:gd name="connsiteX5" fmla="*/ 1382573 w 2750516"/>
                <a:gd name="connsiteY5" fmla="*/ 226771 h 1499616"/>
                <a:gd name="connsiteX6" fmla="*/ 336500 w 2750516"/>
                <a:gd name="connsiteY6" fmla="*/ 1499616 h 1499616"/>
                <a:gd name="connsiteX7" fmla="*/ 234087 w 2750516"/>
                <a:gd name="connsiteY7" fmla="*/ 1492300 h 1499616"/>
                <a:gd name="connsiteX0" fmla="*/ 234087 w 2750516"/>
                <a:gd name="connsiteY0" fmla="*/ 1492300 h 1492300"/>
                <a:gd name="connsiteX1" fmla="*/ 0 w 2750516"/>
                <a:gd name="connsiteY1" fmla="*/ 1492300 h 1492300"/>
                <a:gd name="connsiteX2" fmla="*/ 1375258 w 2750516"/>
                <a:gd name="connsiteY2" fmla="*/ 0 h 1492300"/>
                <a:gd name="connsiteX3" fmla="*/ 2750516 w 2750516"/>
                <a:gd name="connsiteY3" fmla="*/ 1492300 h 1492300"/>
                <a:gd name="connsiteX4" fmla="*/ 2531060 w 2750516"/>
                <a:gd name="connsiteY4" fmla="*/ 1492300 h 1492300"/>
                <a:gd name="connsiteX5" fmla="*/ 1382573 w 2750516"/>
                <a:gd name="connsiteY5" fmla="*/ 226771 h 1492300"/>
                <a:gd name="connsiteX6" fmla="*/ 234087 w 2750516"/>
                <a:gd name="connsiteY6" fmla="*/ 1492300 h 14923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750516" h="1492300">
                  <a:moveTo>
                    <a:pt x="234087" y="1492300"/>
                  </a:moveTo>
                  <a:lnTo>
                    <a:pt x="0" y="1492300"/>
                  </a:lnTo>
                  <a:lnTo>
                    <a:pt x="1375258" y="0"/>
                  </a:lnTo>
                  <a:lnTo>
                    <a:pt x="2750516" y="1492300"/>
                  </a:lnTo>
                  <a:lnTo>
                    <a:pt x="2531060" y="1492300"/>
                  </a:lnTo>
                  <a:lnTo>
                    <a:pt x="1382573" y="226771"/>
                  </a:lnTo>
                  <a:lnTo>
                    <a:pt x="234087" y="1492300"/>
                  </a:lnTo>
                  <a:close/>
                </a:path>
              </a:pathLst>
            </a:cu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22" name="Freeform 21"/>
            <xdr:cNvSpPr/>
          </xdr:nvSpPr>
          <xdr:spPr>
            <a:xfrm>
              <a:off x="329184" y="358444"/>
              <a:ext cx="409652" cy="760781"/>
            </a:xfrm>
            <a:custGeom>
              <a:avLst/>
              <a:gdLst>
                <a:gd name="connsiteX0" fmla="*/ 14631 w 409652"/>
                <a:gd name="connsiteY0" fmla="*/ 760781 h 760781"/>
                <a:gd name="connsiteX1" fmla="*/ 0 w 409652"/>
                <a:gd name="connsiteY1" fmla="*/ 0 h 760781"/>
                <a:gd name="connsiteX2" fmla="*/ 395021 w 409652"/>
                <a:gd name="connsiteY2" fmla="*/ 0 h 760781"/>
                <a:gd name="connsiteX3" fmla="*/ 409652 w 409652"/>
                <a:gd name="connsiteY3" fmla="*/ 424282 h 760781"/>
                <a:gd name="connsiteX4" fmla="*/ 14631 w 409652"/>
                <a:gd name="connsiteY4" fmla="*/ 760781 h 7607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09652" h="760781">
                  <a:moveTo>
                    <a:pt x="14631" y="760781"/>
                  </a:moveTo>
                  <a:lnTo>
                    <a:pt x="0" y="0"/>
                  </a:lnTo>
                  <a:lnTo>
                    <a:pt x="395021" y="0"/>
                  </a:lnTo>
                  <a:lnTo>
                    <a:pt x="409652" y="424282"/>
                  </a:lnTo>
                  <a:lnTo>
                    <a:pt x="14631" y="760781"/>
                  </a:lnTo>
                  <a:close/>
                </a:path>
              </a:pathLst>
            </a:cu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23" name="Rectangle 22"/>
            <xdr:cNvSpPr/>
          </xdr:nvSpPr>
          <xdr:spPr>
            <a:xfrm>
              <a:off x="1141172" y="2055571"/>
              <a:ext cx="457200" cy="576149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grpSp>
          <xdr:nvGrpSpPr>
            <xdr:cNvPr id="24" name="Group 23"/>
            <xdr:cNvGrpSpPr/>
          </xdr:nvGrpSpPr>
          <xdr:grpSpPr>
            <a:xfrm>
              <a:off x="570586" y="1580083"/>
              <a:ext cx="342900" cy="339725"/>
              <a:chOff x="0" y="0"/>
              <a:chExt cx="342900" cy="339725"/>
            </a:xfrm>
          </xdr:grpSpPr>
          <xdr:sp macro="" textlink="">
            <xdr:nvSpPr>
              <xdr:cNvPr id="29" name="Rectangle 28"/>
              <xdr:cNvSpPr/>
            </xdr:nvSpPr>
            <xdr:spPr>
              <a:xfrm>
                <a:off x="0" y="0"/>
                <a:ext cx="342900" cy="339725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endParaRPr lang="en-IN"/>
              </a:p>
            </xdr:txBody>
          </xdr:sp>
          <xdr:cxnSp macro="">
            <xdr:nvCxnSpPr>
              <xdr:cNvPr id="30" name="Straight Connector 29"/>
              <xdr:cNvCxnSpPr/>
            </xdr:nvCxnSpPr>
            <xdr:spPr>
              <a:xfrm>
                <a:off x="168250" y="0"/>
                <a:ext cx="0" cy="33972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1" name="Straight Connector 30"/>
              <xdr:cNvCxnSpPr/>
            </xdr:nvCxnSpPr>
            <xdr:spPr>
              <a:xfrm>
                <a:off x="0" y="138989"/>
                <a:ext cx="342900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25" name="Group 24"/>
            <xdr:cNvGrpSpPr/>
          </xdr:nvGrpSpPr>
          <xdr:grpSpPr>
            <a:xfrm>
              <a:off x="1828800" y="1580083"/>
              <a:ext cx="342900" cy="339725"/>
              <a:chOff x="0" y="0"/>
              <a:chExt cx="342900" cy="339725"/>
            </a:xfrm>
          </xdr:grpSpPr>
          <xdr:sp macro="" textlink="">
            <xdr:nvSpPr>
              <xdr:cNvPr id="26" name="Rectangle 25"/>
              <xdr:cNvSpPr/>
            </xdr:nvSpPr>
            <xdr:spPr>
              <a:xfrm>
                <a:off x="0" y="0"/>
                <a:ext cx="342900" cy="339725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endParaRPr lang="en-IN"/>
              </a:p>
            </xdr:txBody>
          </xdr:sp>
          <xdr:cxnSp macro="">
            <xdr:nvCxnSpPr>
              <xdr:cNvPr id="27" name="Straight Connector 26"/>
              <xdr:cNvCxnSpPr/>
            </xdr:nvCxnSpPr>
            <xdr:spPr>
              <a:xfrm>
                <a:off x="168250" y="0"/>
                <a:ext cx="0" cy="33972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8" name="Straight Connector 27"/>
              <xdr:cNvCxnSpPr/>
            </xdr:nvCxnSpPr>
            <xdr:spPr>
              <a:xfrm>
                <a:off x="0" y="138989"/>
                <a:ext cx="342900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238125</xdr:colOff>
      <xdr:row>1</xdr:row>
      <xdr:rowOff>9525</xdr:rowOff>
    </xdr:from>
    <xdr:to>
      <xdr:col>17</xdr:col>
      <xdr:colOff>503555</xdr:colOff>
      <xdr:row>8</xdr:row>
      <xdr:rowOff>80645</xdr:rowOff>
    </xdr:to>
    <xdr:grpSp>
      <xdr:nvGrpSpPr>
        <xdr:cNvPr id="17" name="Group 16">
          <a:hlinkClick xmlns:r="http://schemas.openxmlformats.org/officeDocument/2006/relationships" r:id="rId1"/>
        </xdr:cNvPr>
        <xdr:cNvGrpSpPr/>
      </xdr:nvGrpSpPr>
      <xdr:grpSpPr>
        <a:xfrm>
          <a:off x="10201275" y="209550"/>
          <a:ext cx="1627505" cy="1433195"/>
          <a:chOff x="0" y="0"/>
          <a:chExt cx="3299155" cy="2940710"/>
        </a:xfrm>
      </xdr:grpSpPr>
      <xdr:sp macro="" textlink="">
        <xdr:nvSpPr>
          <xdr:cNvPr id="18" name="Rounded Rectangle 17"/>
          <xdr:cNvSpPr/>
        </xdr:nvSpPr>
        <xdr:spPr>
          <a:xfrm>
            <a:off x="0" y="0"/>
            <a:ext cx="3299155" cy="2940710"/>
          </a:xfrm>
          <a:prstGeom prst="roundRect">
            <a:avLst/>
          </a:prstGeom>
          <a:solidFill>
            <a:schemeClr val="tx2">
              <a:lumMod val="60000"/>
              <a:lumOff val="40000"/>
            </a:schemeClr>
          </a:solidFill>
          <a:ln w="76200">
            <a:solidFill>
              <a:schemeClr val="tx1"/>
            </a:solidFill>
          </a:ln>
          <a:scene3d>
            <a:camera prst="orthographicFront"/>
            <a:lightRig rig="threePt" dir="t"/>
          </a:scene3d>
          <a:sp3d>
            <a:bevelB h="12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endParaRPr lang="en-IN"/>
          </a:p>
        </xdr:txBody>
      </xdr:sp>
      <xdr:grpSp>
        <xdr:nvGrpSpPr>
          <xdr:cNvPr id="19" name="Group 18"/>
          <xdr:cNvGrpSpPr/>
        </xdr:nvGrpSpPr>
        <xdr:grpSpPr>
          <a:xfrm>
            <a:off x="205604" y="117044"/>
            <a:ext cx="2750516" cy="2634618"/>
            <a:chOff x="-21167" y="0"/>
            <a:chExt cx="2750516" cy="2634618"/>
          </a:xfrm>
        </xdr:grpSpPr>
        <xdr:sp macro="" textlink="">
          <xdr:nvSpPr>
            <xdr:cNvPr id="20" name="Pentagon 8"/>
            <xdr:cNvSpPr/>
          </xdr:nvSpPr>
          <xdr:spPr>
            <a:xfrm rot="16200000">
              <a:off x="226771" y="460858"/>
              <a:ext cx="2291389" cy="2056131"/>
            </a:xfrm>
            <a:custGeom>
              <a:avLst/>
              <a:gdLst>
                <a:gd name="connsiteX0" fmla="*/ 0 w 2171700"/>
                <a:gd name="connsiteY0" fmla="*/ 0 h 2056130"/>
                <a:gd name="connsiteX1" fmla="*/ 1143635 w 2171700"/>
                <a:gd name="connsiteY1" fmla="*/ 0 h 2056130"/>
                <a:gd name="connsiteX2" fmla="*/ 2171700 w 2171700"/>
                <a:gd name="connsiteY2" fmla="*/ 1028065 h 2056130"/>
                <a:gd name="connsiteX3" fmla="*/ 1143635 w 2171700"/>
                <a:gd name="connsiteY3" fmla="*/ 2056130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1700"/>
                <a:gd name="connsiteY0" fmla="*/ 0 h 2056130"/>
                <a:gd name="connsiteX1" fmla="*/ 1143635 w 2171700"/>
                <a:gd name="connsiteY1" fmla="*/ 0 h 2056130"/>
                <a:gd name="connsiteX2" fmla="*/ 2171700 w 2171700"/>
                <a:gd name="connsiteY2" fmla="*/ 1028065 h 2056130"/>
                <a:gd name="connsiteX3" fmla="*/ 1146480 w 2171700"/>
                <a:gd name="connsiteY3" fmla="*/ 1942008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1700"/>
                <a:gd name="connsiteY0" fmla="*/ 0 h 2056130"/>
                <a:gd name="connsiteX1" fmla="*/ 1146480 w 2171700"/>
                <a:gd name="connsiteY1" fmla="*/ 113208 h 2056130"/>
                <a:gd name="connsiteX2" fmla="*/ 2171700 w 2171700"/>
                <a:gd name="connsiteY2" fmla="*/ 1028065 h 2056130"/>
                <a:gd name="connsiteX3" fmla="*/ 1146480 w 2171700"/>
                <a:gd name="connsiteY3" fmla="*/ 1942008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5180"/>
                <a:gd name="connsiteY0" fmla="*/ 0 h 2056130"/>
                <a:gd name="connsiteX1" fmla="*/ 1146480 w 2175180"/>
                <a:gd name="connsiteY1" fmla="*/ 113208 h 2056130"/>
                <a:gd name="connsiteX2" fmla="*/ 2175180 w 2175180"/>
                <a:gd name="connsiteY2" fmla="*/ 1032180 h 2056130"/>
                <a:gd name="connsiteX3" fmla="*/ 1146480 w 2175180"/>
                <a:gd name="connsiteY3" fmla="*/ 1942008 h 2056130"/>
                <a:gd name="connsiteX4" fmla="*/ 0 w 2175180"/>
                <a:gd name="connsiteY4" fmla="*/ 2056130 h 2056130"/>
                <a:gd name="connsiteX5" fmla="*/ 0 w 2175180"/>
                <a:gd name="connsiteY5" fmla="*/ 0 h 2056130"/>
                <a:gd name="connsiteX0" fmla="*/ 0 w 2291389"/>
                <a:gd name="connsiteY0" fmla="*/ 0 h 2056130"/>
                <a:gd name="connsiteX1" fmla="*/ 1146480 w 2291389"/>
                <a:gd name="connsiteY1" fmla="*/ 113208 h 2056130"/>
                <a:gd name="connsiteX2" fmla="*/ 2291389 w 2291389"/>
                <a:gd name="connsiteY2" fmla="*/ 1030593 h 2056130"/>
                <a:gd name="connsiteX3" fmla="*/ 1146480 w 2291389"/>
                <a:gd name="connsiteY3" fmla="*/ 1942008 h 2056130"/>
                <a:gd name="connsiteX4" fmla="*/ 0 w 2291389"/>
                <a:gd name="connsiteY4" fmla="*/ 2056130 h 2056130"/>
                <a:gd name="connsiteX5" fmla="*/ 0 w 2291389"/>
                <a:gd name="connsiteY5" fmla="*/ 0 h 2056130"/>
                <a:gd name="connsiteX0" fmla="*/ 0 w 2291389"/>
                <a:gd name="connsiteY0" fmla="*/ 1 h 2056131"/>
                <a:gd name="connsiteX1" fmla="*/ 1147804 w 2291389"/>
                <a:gd name="connsiteY1" fmla="*/ 0 h 2056131"/>
                <a:gd name="connsiteX2" fmla="*/ 2291389 w 2291389"/>
                <a:gd name="connsiteY2" fmla="*/ 1030594 h 2056131"/>
                <a:gd name="connsiteX3" fmla="*/ 1146480 w 2291389"/>
                <a:gd name="connsiteY3" fmla="*/ 1942009 h 2056131"/>
                <a:gd name="connsiteX4" fmla="*/ 0 w 2291389"/>
                <a:gd name="connsiteY4" fmla="*/ 2056131 h 2056131"/>
                <a:gd name="connsiteX5" fmla="*/ 0 w 2291389"/>
                <a:gd name="connsiteY5" fmla="*/ 1 h 2056131"/>
                <a:gd name="connsiteX0" fmla="*/ 0 w 2291389"/>
                <a:gd name="connsiteY0" fmla="*/ 1 h 2056131"/>
                <a:gd name="connsiteX1" fmla="*/ 1147804 w 2291389"/>
                <a:gd name="connsiteY1" fmla="*/ 0 h 2056131"/>
                <a:gd name="connsiteX2" fmla="*/ 2291389 w 2291389"/>
                <a:gd name="connsiteY2" fmla="*/ 1030594 h 2056131"/>
                <a:gd name="connsiteX3" fmla="*/ 1147804 w 2291389"/>
                <a:gd name="connsiteY3" fmla="*/ 2056131 h 2056131"/>
                <a:gd name="connsiteX4" fmla="*/ 0 w 2291389"/>
                <a:gd name="connsiteY4" fmla="*/ 2056131 h 2056131"/>
                <a:gd name="connsiteX5" fmla="*/ 0 w 2291389"/>
                <a:gd name="connsiteY5" fmla="*/ 1 h 20561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2291389" h="2056131">
                  <a:moveTo>
                    <a:pt x="0" y="1"/>
                  </a:moveTo>
                  <a:lnTo>
                    <a:pt x="1147804" y="0"/>
                  </a:lnTo>
                  <a:lnTo>
                    <a:pt x="2291389" y="1030594"/>
                  </a:lnTo>
                  <a:lnTo>
                    <a:pt x="1147804" y="2056131"/>
                  </a:lnTo>
                  <a:lnTo>
                    <a:pt x="0" y="2056131"/>
                  </a:lnTo>
                  <a:lnTo>
                    <a:pt x="0" y="1"/>
                  </a:lnTo>
                  <a:close/>
                </a:path>
              </a:pathLst>
            </a:cu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21" name="Freeform 20"/>
            <xdr:cNvSpPr/>
          </xdr:nvSpPr>
          <xdr:spPr>
            <a:xfrm>
              <a:off x="-21167" y="0"/>
              <a:ext cx="2750516" cy="1492301"/>
            </a:xfrm>
            <a:custGeom>
              <a:avLst/>
              <a:gdLst>
                <a:gd name="connsiteX0" fmla="*/ 234087 w 2750516"/>
                <a:gd name="connsiteY0" fmla="*/ 1492300 h 1499616"/>
                <a:gd name="connsiteX1" fmla="*/ 0 w 2750516"/>
                <a:gd name="connsiteY1" fmla="*/ 1492300 h 1499616"/>
                <a:gd name="connsiteX2" fmla="*/ 1375258 w 2750516"/>
                <a:gd name="connsiteY2" fmla="*/ 0 h 1499616"/>
                <a:gd name="connsiteX3" fmla="*/ 2750516 w 2750516"/>
                <a:gd name="connsiteY3" fmla="*/ 1492300 h 1499616"/>
                <a:gd name="connsiteX4" fmla="*/ 2531060 w 2750516"/>
                <a:gd name="connsiteY4" fmla="*/ 1492300 h 1499616"/>
                <a:gd name="connsiteX5" fmla="*/ 1382573 w 2750516"/>
                <a:gd name="connsiteY5" fmla="*/ 226771 h 1499616"/>
                <a:gd name="connsiteX6" fmla="*/ 336500 w 2750516"/>
                <a:gd name="connsiteY6" fmla="*/ 1499616 h 1499616"/>
                <a:gd name="connsiteX7" fmla="*/ 234087 w 2750516"/>
                <a:gd name="connsiteY7" fmla="*/ 1492300 h 1499616"/>
                <a:gd name="connsiteX0" fmla="*/ 234087 w 2750516"/>
                <a:gd name="connsiteY0" fmla="*/ 1492300 h 1492300"/>
                <a:gd name="connsiteX1" fmla="*/ 0 w 2750516"/>
                <a:gd name="connsiteY1" fmla="*/ 1492300 h 1492300"/>
                <a:gd name="connsiteX2" fmla="*/ 1375258 w 2750516"/>
                <a:gd name="connsiteY2" fmla="*/ 0 h 1492300"/>
                <a:gd name="connsiteX3" fmla="*/ 2750516 w 2750516"/>
                <a:gd name="connsiteY3" fmla="*/ 1492300 h 1492300"/>
                <a:gd name="connsiteX4" fmla="*/ 2531060 w 2750516"/>
                <a:gd name="connsiteY4" fmla="*/ 1492300 h 1492300"/>
                <a:gd name="connsiteX5" fmla="*/ 1382573 w 2750516"/>
                <a:gd name="connsiteY5" fmla="*/ 226771 h 1492300"/>
                <a:gd name="connsiteX6" fmla="*/ 234087 w 2750516"/>
                <a:gd name="connsiteY6" fmla="*/ 1492300 h 14923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750516" h="1492300">
                  <a:moveTo>
                    <a:pt x="234087" y="1492300"/>
                  </a:moveTo>
                  <a:lnTo>
                    <a:pt x="0" y="1492300"/>
                  </a:lnTo>
                  <a:lnTo>
                    <a:pt x="1375258" y="0"/>
                  </a:lnTo>
                  <a:lnTo>
                    <a:pt x="2750516" y="1492300"/>
                  </a:lnTo>
                  <a:lnTo>
                    <a:pt x="2531060" y="1492300"/>
                  </a:lnTo>
                  <a:lnTo>
                    <a:pt x="1382573" y="226771"/>
                  </a:lnTo>
                  <a:lnTo>
                    <a:pt x="234087" y="1492300"/>
                  </a:lnTo>
                  <a:close/>
                </a:path>
              </a:pathLst>
            </a:cu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22" name="Freeform 21"/>
            <xdr:cNvSpPr/>
          </xdr:nvSpPr>
          <xdr:spPr>
            <a:xfrm>
              <a:off x="329184" y="358444"/>
              <a:ext cx="409652" cy="760781"/>
            </a:xfrm>
            <a:custGeom>
              <a:avLst/>
              <a:gdLst>
                <a:gd name="connsiteX0" fmla="*/ 14631 w 409652"/>
                <a:gd name="connsiteY0" fmla="*/ 760781 h 760781"/>
                <a:gd name="connsiteX1" fmla="*/ 0 w 409652"/>
                <a:gd name="connsiteY1" fmla="*/ 0 h 760781"/>
                <a:gd name="connsiteX2" fmla="*/ 395021 w 409652"/>
                <a:gd name="connsiteY2" fmla="*/ 0 h 760781"/>
                <a:gd name="connsiteX3" fmla="*/ 409652 w 409652"/>
                <a:gd name="connsiteY3" fmla="*/ 424282 h 760781"/>
                <a:gd name="connsiteX4" fmla="*/ 14631 w 409652"/>
                <a:gd name="connsiteY4" fmla="*/ 760781 h 7607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09652" h="760781">
                  <a:moveTo>
                    <a:pt x="14631" y="760781"/>
                  </a:moveTo>
                  <a:lnTo>
                    <a:pt x="0" y="0"/>
                  </a:lnTo>
                  <a:lnTo>
                    <a:pt x="395021" y="0"/>
                  </a:lnTo>
                  <a:lnTo>
                    <a:pt x="409652" y="424282"/>
                  </a:lnTo>
                  <a:lnTo>
                    <a:pt x="14631" y="760781"/>
                  </a:lnTo>
                  <a:close/>
                </a:path>
              </a:pathLst>
            </a:cu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23" name="Rectangle 22"/>
            <xdr:cNvSpPr/>
          </xdr:nvSpPr>
          <xdr:spPr>
            <a:xfrm>
              <a:off x="1141172" y="2055571"/>
              <a:ext cx="457200" cy="576149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grpSp>
          <xdr:nvGrpSpPr>
            <xdr:cNvPr id="24" name="Group 23"/>
            <xdr:cNvGrpSpPr/>
          </xdr:nvGrpSpPr>
          <xdr:grpSpPr>
            <a:xfrm>
              <a:off x="570586" y="1580083"/>
              <a:ext cx="342900" cy="339725"/>
              <a:chOff x="0" y="0"/>
              <a:chExt cx="342900" cy="339725"/>
            </a:xfrm>
          </xdr:grpSpPr>
          <xdr:sp macro="" textlink="">
            <xdr:nvSpPr>
              <xdr:cNvPr id="29" name="Rectangle 28"/>
              <xdr:cNvSpPr/>
            </xdr:nvSpPr>
            <xdr:spPr>
              <a:xfrm>
                <a:off x="0" y="0"/>
                <a:ext cx="342900" cy="339725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endParaRPr lang="en-IN"/>
              </a:p>
            </xdr:txBody>
          </xdr:sp>
          <xdr:cxnSp macro="">
            <xdr:nvCxnSpPr>
              <xdr:cNvPr id="30" name="Straight Connector 29"/>
              <xdr:cNvCxnSpPr/>
            </xdr:nvCxnSpPr>
            <xdr:spPr>
              <a:xfrm>
                <a:off x="168250" y="0"/>
                <a:ext cx="0" cy="33972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1" name="Straight Connector 30"/>
              <xdr:cNvCxnSpPr/>
            </xdr:nvCxnSpPr>
            <xdr:spPr>
              <a:xfrm>
                <a:off x="0" y="138989"/>
                <a:ext cx="342900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25" name="Group 24"/>
            <xdr:cNvGrpSpPr/>
          </xdr:nvGrpSpPr>
          <xdr:grpSpPr>
            <a:xfrm>
              <a:off x="1828800" y="1580083"/>
              <a:ext cx="342900" cy="339725"/>
              <a:chOff x="0" y="0"/>
              <a:chExt cx="342900" cy="339725"/>
            </a:xfrm>
          </xdr:grpSpPr>
          <xdr:sp macro="" textlink="">
            <xdr:nvSpPr>
              <xdr:cNvPr id="26" name="Rectangle 25"/>
              <xdr:cNvSpPr/>
            </xdr:nvSpPr>
            <xdr:spPr>
              <a:xfrm>
                <a:off x="0" y="0"/>
                <a:ext cx="342900" cy="339725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endParaRPr lang="en-IN"/>
              </a:p>
            </xdr:txBody>
          </xdr:sp>
          <xdr:cxnSp macro="">
            <xdr:nvCxnSpPr>
              <xdr:cNvPr id="27" name="Straight Connector 26"/>
              <xdr:cNvCxnSpPr/>
            </xdr:nvCxnSpPr>
            <xdr:spPr>
              <a:xfrm>
                <a:off x="168250" y="0"/>
                <a:ext cx="0" cy="33972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8" name="Straight Connector 27"/>
              <xdr:cNvCxnSpPr/>
            </xdr:nvCxnSpPr>
            <xdr:spPr>
              <a:xfrm>
                <a:off x="0" y="138989"/>
                <a:ext cx="342900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</xdr:grpSp>
    <xdr:clientData/>
  </xdr:twoCellAnchor>
  <xdr:twoCellAnchor>
    <xdr:from>
      <xdr:col>0</xdr:col>
      <xdr:colOff>600075</xdr:colOff>
      <xdr:row>7</xdr:row>
      <xdr:rowOff>0</xdr:rowOff>
    </xdr:from>
    <xdr:to>
      <xdr:col>3</xdr:col>
      <xdr:colOff>0</xdr:colOff>
      <xdr:row>14</xdr:row>
      <xdr:rowOff>152400</xdr:rowOff>
    </xdr:to>
    <xdr:grpSp>
      <xdr:nvGrpSpPr>
        <xdr:cNvPr id="13" name="Group 12"/>
        <xdr:cNvGrpSpPr/>
      </xdr:nvGrpSpPr>
      <xdr:grpSpPr>
        <a:xfrm>
          <a:off x="161925" y="1371600"/>
          <a:ext cx="1733550" cy="1524000"/>
          <a:chOff x="600075" y="1371600"/>
          <a:chExt cx="1743075" cy="1485900"/>
        </a:xfrm>
      </xdr:grpSpPr>
      <xdr:grpSp>
        <xdr:nvGrpSpPr>
          <xdr:cNvPr id="10" name="Group 9"/>
          <xdr:cNvGrpSpPr/>
        </xdr:nvGrpSpPr>
        <xdr:grpSpPr>
          <a:xfrm>
            <a:off x="714375" y="2047875"/>
            <a:ext cx="828675" cy="381000"/>
            <a:chOff x="714375" y="2047875"/>
            <a:chExt cx="828675" cy="381000"/>
          </a:xfrm>
        </xdr:grpSpPr>
        <xdr:cxnSp macro="">
          <xdr:nvCxnSpPr>
            <xdr:cNvPr id="3" name="Straight Arrow Connector 2"/>
            <xdr:cNvCxnSpPr/>
          </xdr:nvCxnSpPr>
          <xdr:spPr>
            <a:xfrm>
              <a:off x="714375" y="2047875"/>
              <a:ext cx="781050" cy="0"/>
            </a:xfrm>
            <a:prstGeom prst="straightConnector1">
              <a:avLst/>
            </a:prstGeom>
            <a:ln>
              <a:tailEnd type="arrow"/>
            </a:ln>
          </xdr:spPr>
          <xdr:style>
            <a:lnRef idx="2">
              <a:schemeClr val="dk1"/>
            </a:lnRef>
            <a:fillRef idx="0">
              <a:schemeClr val="dk1"/>
            </a:fillRef>
            <a:effectRef idx="1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2" name="Straight Arrow Connector 31"/>
            <xdr:cNvCxnSpPr/>
          </xdr:nvCxnSpPr>
          <xdr:spPr>
            <a:xfrm>
              <a:off x="762000" y="2238375"/>
              <a:ext cx="781050" cy="0"/>
            </a:xfrm>
            <a:prstGeom prst="straightConnector1">
              <a:avLst/>
            </a:prstGeom>
            <a:ln>
              <a:tailEnd type="arrow"/>
            </a:ln>
          </xdr:spPr>
          <xdr:style>
            <a:lnRef idx="2">
              <a:schemeClr val="dk1"/>
            </a:lnRef>
            <a:fillRef idx="0">
              <a:schemeClr val="dk1"/>
            </a:fillRef>
            <a:effectRef idx="1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3" name="Straight Arrow Connector 32"/>
            <xdr:cNvCxnSpPr/>
          </xdr:nvCxnSpPr>
          <xdr:spPr>
            <a:xfrm>
              <a:off x="762000" y="2428875"/>
              <a:ext cx="781050" cy="0"/>
            </a:xfrm>
            <a:prstGeom prst="straightConnector1">
              <a:avLst/>
            </a:prstGeom>
            <a:ln>
              <a:tailEnd type="arrow"/>
            </a:ln>
          </xdr:spPr>
          <xdr:style>
            <a:lnRef idx="2">
              <a:schemeClr val="dk1"/>
            </a:lnRef>
            <a:fillRef idx="0">
              <a:schemeClr val="dk1"/>
            </a:fillRef>
            <a:effectRef idx="1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2" name="Group 11"/>
          <xdr:cNvGrpSpPr/>
        </xdr:nvGrpSpPr>
        <xdr:grpSpPr>
          <a:xfrm>
            <a:off x="600075" y="1371600"/>
            <a:ext cx="1743075" cy="1485900"/>
            <a:chOff x="600075" y="1371600"/>
            <a:chExt cx="1743075" cy="1485900"/>
          </a:xfrm>
        </xdr:grpSpPr>
        <xdr:sp macro="" textlink="">
          <xdr:nvSpPr>
            <xdr:cNvPr id="11" name="Rectangle 10"/>
            <xdr:cNvSpPr/>
          </xdr:nvSpPr>
          <xdr:spPr>
            <a:xfrm>
              <a:off x="600075" y="1371600"/>
              <a:ext cx="1743075" cy="116205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34" name="Rectangle 33"/>
            <xdr:cNvSpPr/>
          </xdr:nvSpPr>
          <xdr:spPr>
            <a:xfrm>
              <a:off x="600075" y="2533650"/>
              <a:ext cx="1743075" cy="32385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IN" sz="1100" b="1" u="sng">
                  <a:solidFill>
                    <a:schemeClr val="tx1"/>
                  </a:solidFill>
                </a:rPr>
                <a:t>Rectangular Tank Formula</a:t>
              </a:r>
            </a:p>
          </xdr:txBody>
        </xdr:sp>
      </xdr:grpSp>
    </xdr:grpSp>
    <xdr:clientData/>
  </xdr:twoCellAnchor>
  <xdr:twoCellAnchor>
    <xdr:from>
      <xdr:col>5</xdr:col>
      <xdr:colOff>66675</xdr:colOff>
      <xdr:row>6</xdr:row>
      <xdr:rowOff>190499</xdr:rowOff>
    </xdr:from>
    <xdr:to>
      <xdr:col>5</xdr:col>
      <xdr:colOff>504825</xdr:colOff>
      <xdr:row>7</xdr:row>
      <xdr:rowOff>190499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Rectangle 15"/>
            <xdr:cNvSpPr/>
          </xdr:nvSpPr>
          <xdr:spPr>
            <a:xfrm>
              <a:off x="4038600" y="1371599"/>
              <a:ext cx="438150" cy="2000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l-GR" sz="1100" b="1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𝝅</m:t>
                    </m:r>
                    <m:sSup>
                      <m:sSupPr>
                        <m:ctrlPr>
                          <a:rPr lang="en-IN" sz="11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IN" sz="11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𝒓</m:t>
                        </m:r>
                      </m:e>
                      <m:sup>
                        <m:r>
                          <a:rPr lang="en-IN" sz="11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𝟐</m:t>
                        </m:r>
                      </m:sup>
                    </m:sSup>
                    <m:r>
                      <a:rPr lang="en-IN" sz="1100" b="1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𝒉</m:t>
                    </m:r>
                  </m:oMath>
                </m:oMathPara>
              </a14:m>
              <a:endParaRPr lang="en-IN" sz="1100" b="1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6" name="Rectangle 15"/>
            <xdr:cNvSpPr/>
          </xdr:nvSpPr>
          <xdr:spPr>
            <a:xfrm>
              <a:off x="4038600" y="1371599"/>
              <a:ext cx="438150" cy="2000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el-GR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𝝅</a:t>
              </a:r>
              <a:r>
                <a:rPr lang="en-IN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𝒓^𝟐 𝒉</a:t>
              </a:r>
              <a:endParaRPr lang="en-IN" sz="1100" b="1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4</xdr:col>
      <xdr:colOff>0</xdr:colOff>
      <xdr:row>7</xdr:row>
      <xdr:rowOff>0</xdr:rowOff>
    </xdr:from>
    <xdr:to>
      <xdr:col>5</xdr:col>
      <xdr:colOff>885825</xdr:colOff>
      <xdr:row>12</xdr:row>
      <xdr:rowOff>9525</xdr:rowOff>
    </xdr:to>
    <xdr:grpSp>
      <xdr:nvGrpSpPr>
        <xdr:cNvPr id="40" name="Group 39"/>
        <xdr:cNvGrpSpPr/>
      </xdr:nvGrpSpPr>
      <xdr:grpSpPr>
        <a:xfrm>
          <a:off x="2457450" y="1371600"/>
          <a:ext cx="1905000" cy="990600"/>
          <a:chOff x="2933700" y="1371600"/>
          <a:chExt cx="1924050" cy="962025"/>
        </a:xfrm>
      </xdr:grpSpPr>
      <xdr:grpSp>
        <xdr:nvGrpSpPr>
          <xdr:cNvPr id="38" name="Group 37"/>
          <xdr:cNvGrpSpPr/>
        </xdr:nvGrpSpPr>
        <xdr:grpSpPr>
          <a:xfrm>
            <a:off x="3086100" y="2047875"/>
            <a:ext cx="790575" cy="180975"/>
            <a:chOff x="3086100" y="2047875"/>
            <a:chExt cx="790575" cy="180975"/>
          </a:xfrm>
        </xdr:grpSpPr>
        <xdr:cxnSp macro="">
          <xdr:nvCxnSpPr>
            <xdr:cNvPr id="35" name="Straight Arrow Connector 34"/>
            <xdr:cNvCxnSpPr/>
          </xdr:nvCxnSpPr>
          <xdr:spPr>
            <a:xfrm>
              <a:off x="3086100" y="2047875"/>
              <a:ext cx="781050" cy="0"/>
            </a:xfrm>
            <a:prstGeom prst="straightConnector1">
              <a:avLst/>
            </a:prstGeom>
            <a:ln>
              <a:tailEnd type="arrow"/>
            </a:ln>
          </xdr:spPr>
          <xdr:style>
            <a:lnRef idx="2">
              <a:schemeClr val="dk1"/>
            </a:lnRef>
            <a:fillRef idx="0">
              <a:schemeClr val="dk1"/>
            </a:fillRef>
            <a:effectRef idx="1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6" name="Straight Arrow Connector 35"/>
            <xdr:cNvCxnSpPr/>
          </xdr:nvCxnSpPr>
          <xdr:spPr>
            <a:xfrm>
              <a:off x="3095625" y="2228850"/>
              <a:ext cx="781050" cy="0"/>
            </a:xfrm>
            <a:prstGeom prst="straightConnector1">
              <a:avLst/>
            </a:prstGeom>
            <a:ln>
              <a:tailEnd type="arrow"/>
            </a:ln>
          </xdr:spPr>
          <xdr:style>
            <a:lnRef idx="2">
              <a:schemeClr val="dk1"/>
            </a:lnRef>
            <a:fillRef idx="0">
              <a:schemeClr val="dk1"/>
            </a:fillRef>
            <a:effectRef idx="1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39" name="Rectangle 38"/>
          <xdr:cNvSpPr/>
        </xdr:nvSpPr>
        <xdr:spPr>
          <a:xfrm>
            <a:off x="2933700" y="1371600"/>
            <a:ext cx="1924050" cy="9620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>
    <xdr:from>
      <xdr:col>3</xdr:col>
      <xdr:colOff>590550</xdr:colOff>
      <xdr:row>12</xdr:row>
      <xdr:rowOff>9525</xdr:rowOff>
    </xdr:from>
    <xdr:to>
      <xdr:col>5</xdr:col>
      <xdr:colOff>885824</xdr:colOff>
      <xdr:row>14</xdr:row>
      <xdr:rowOff>161925</xdr:rowOff>
    </xdr:to>
    <xdr:sp macro="" textlink="">
      <xdr:nvSpPr>
        <xdr:cNvPr id="41" name="Rectangle 40"/>
        <xdr:cNvSpPr/>
      </xdr:nvSpPr>
      <xdr:spPr>
        <a:xfrm>
          <a:off x="2933700" y="2333625"/>
          <a:ext cx="1924049" cy="5334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 u="sng">
              <a:solidFill>
                <a:schemeClr val="tx1"/>
              </a:solidFill>
            </a:rPr>
            <a:t>Cylinder Tank Formula</a:t>
          </a:r>
        </a:p>
      </xdr:txBody>
    </xdr:sp>
    <xdr:clientData/>
  </xdr:twoCellAnchor>
  <xdr:twoCellAnchor>
    <xdr:from>
      <xdr:col>15</xdr:col>
      <xdr:colOff>161925</xdr:colOff>
      <xdr:row>11</xdr:row>
      <xdr:rowOff>104774</xdr:rowOff>
    </xdr:from>
    <xdr:to>
      <xdr:col>15</xdr:col>
      <xdr:colOff>600075</xdr:colOff>
      <xdr:row>12</xdr:row>
      <xdr:rowOff>95249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Rectangle 42"/>
            <xdr:cNvSpPr/>
          </xdr:nvSpPr>
          <xdr:spPr>
            <a:xfrm>
              <a:off x="10125075" y="2257424"/>
              <a:ext cx="438150" cy="1905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l-GR" sz="1100" b="1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𝝅</m:t>
                    </m:r>
                    <m:sSup>
                      <m:sSupPr>
                        <m:ctrlPr>
                          <a:rPr lang="en-IN" sz="11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IN" sz="11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𝒓</m:t>
                        </m:r>
                      </m:e>
                      <m:sup>
                        <m:r>
                          <a:rPr lang="en-IN" sz="11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𝟐</m:t>
                        </m:r>
                      </m:sup>
                    </m:sSup>
                    <m:r>
                      <a:rPr lang="en-IN" sz="1100" b="1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𝒇</m:t>
                    </m:r>
                  </m:oMath>
                </m:oMathPara>
              </a14:m>
              <a:endParaRPr lang="en-IN" sz="1100" b="1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3" name="Rectangle 42"/>
            <xdr:cNvSpPr/>
          </xdr:nvSpPr>
          <xdr:spPr>
            <a:xfrm>
              <a:off x="10125075" y="2257424"/>
              <a:ext cx="438150" cy="1905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el-GR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𝝅</a:t>
              </a:r>
              <a:r>
                <a:rPr lang="en-IN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𝒓^𝟐</a:t>
              </a:r>
              <a:r>
                <a:rPr lang="en-IN" sz="1100" b="1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𝒇</a:t>
              </a:r>
              <a:endParaRPr lang="en-IN" sz="1100" b="1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15</xdr:col>
      <xdr:colOff>152400</xdr:colOff>
      <xdr:row>10</xdr:row>
      <xdr:rowOff>0</xdr:rowOff>
    </xdr:from>
    <xdr:to>
      <xdr:col>15</xdr:col>
      <xdr:colOff>590550</xdr:colOff>
      <xdr:row>10</xdr:row>
      <xdr:rowOff>190500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Rectangle 43"/>
            <xdr:cNvSpPr/>
          </xdr:nvSpPr>
          <xdr:spPr>
            <a:xfrm>
              <a:off x="10115550" y="1952625"/>
              <a:ext cx="438150" cy="1905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l-GR" sz="1100" b="1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𝝅</m:t>
                    </m:r>
                    <m:sSup>
                      <m:sSupPr>
                        <m:ctrlPr>
                          <a:rPr lang="en-IN" sz="11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IN" sz="11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𝒓</m:t>
                        </m:r>
                      </m:e>
                      <m:sup>
                        <m:r>
                          <a:rPr lang="en-IN" sz="11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𝟐</m:t>
                        </m:r>
                      </m:sup>
                    </m:sSup>
                    <m:r>
                      <a:rPr lang="en-IN" sz="1100" b="1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𝒉</m:t>
                    </m:r>
                  </m:oMath>
                </m:oMathPara>
              </a14:m>
              <a:endParaRPr lang="en-IN" sz="1100" b="1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4" name="Rectangle 43"/>
            <xdr:cNvSpPr/>
          </xdr:nvSpPr>
          <xdr:spPr>
            <a:xfrm>
              <a:off x="10115550" y="1952625"/>
              <a:ext cx="438150" cy="1905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el-GR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𝝅</a:t>
              </a:r>
              <a:r>
                <a:rPr lang="en-IN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𝒓^𝟐 𝒉</a:t>
              </a:r>
              <a:endParaRPr lang="en-IN" sz="1100" b="1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200025</xdr:colOff>
      <xdr:row>1</xdr:row>
      <xdr:rowOff>28575</xdr:rowOff>
    </xdr:from>
    <xdr:to>
      <xdr:col>19</xdr:col>
      <xdr:colOff>465455</xdr:colOff>
      <xdr:row>8</xdr:row>
      <xdr:rowOff>109220</xdr:rowOff>
    </xdr:to>
    <xdr:grpSp>
      <xdr:nvGrpSpPr>
        <xdr:cNvPr id="17" name="Group 16">
          <a:hlinkClick xmlns:r="http://schemas.openxmlformats.org/officeDocument/2006/relationships" r:id="rId1"/>
        </xdr:cNvPr>
        <xdr:cNvGrpSpPr/>
      </xdr:nvGrpSpPr>
      <xdr:grpSpPr>
        <a:xfrm>
          <a:off x="10563225" y="219075"/>
          <a:ext cx="1484630" cy="1414145"/>
          <a:chOff x="0" y="0"/>
          <a:chExt cx="3299155" cy="2940710"/>
        </a:xfrm>
      </xdr:grpSpPr>
      <xdr:sp macro="" textlink="">
        <xdr:nvSpPr>
          <xdr:cNvPr id="18" name="Rounded Rectangle 17"/>
          <xdr:cNvSpPr/>
        </xdr:nvSpPr>
        <xdr:spPr>
          <a:xfrm>
            <a:off x="0" y="0"/>
            <a:ext cx="3299155" cy="2940710"/>
          </a:xfrm>
          <a:prstGeom prst="roundRect">
            <a:avLst/>
          </a:prstGeom>
          <a:solidFill>
            <a:schemeClr val="tx2">
              <a:lumMod val="60000"/>
              <a:lumOff val="40000"/>
            </a:schemeClr>
          </a:solidFill>
          <a:ln w="76200">
            <a:solidFill>
              <a:schemeClr val="tx1"/>
            </a:solidFill>
          </a:ln>
          <a:scene3d>
            <a:camera prst="orthographicFront"/>
            <a:lightRig rig="threePt" dir="t"/>
          </a:scene3d>
          <a:sp3d>
            <a:bevelB h="12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endParaRPr lang="en-IN"/>
          </a:p>
        </xdr:txBody>
      </xdr:sp>
      <xdr:grpSp>
        <xdr:nvGrpSpPr>
          <xdr:cNvPr id="19" name="Group 18"/>
          <xdr:cNvGrpSpPr/>
        </xdr:nvGrpSpPr>
        <xdr:grpSpPr>
          <a:xfrm>
            <a:off x="205604" y="117044"/>
            <a:ext cx="2750516" cy="2634618"/>
            <a:chOff x="-21167" y="0"/>
            <a:chExt cx="2750516" cy="2634618"/>
          </a:xfrm>
        </xdr:grpSpPr>
        <xdr:sp macro="" textlink="">
          <xdr:nvSpPr>
            <xdr:cNvPr id="20" name="Pentagon 8"/>
            <xdr:cNvSpPr/>
          </xdr:nvSpPr>
          <xdr:spPr>
            <a:xfrm rot="16200000">
              <a:off x="226771" y="460858"/>
              <a:ext cx="2291389" cy="2056131"/>
            </a:xfrm>
            <a:custGeom>
              <a:avLst/>
              <a:gdLst>
                <a:gd name="connsiteX0" fmla="*/ 0 w 2171700"/>
                <a:gd name="connsiteY0" fmla="*/ 0 h 2056130"/>
                <a:gd name="connsiteX1" fmla="*/ 1143635 w 2171700"/>
                <a:gd name="connsiteY1" fmla="*/ 0 h 2056130"/>
                <a:gd name="connsiteX2" fmla="*/ 2171700 w 2171700"/>
                <a:gd name="connsiteY2" fmla="*/ 1028065 h 2056130"/>
                <a:gd name="connsiteX3" fmla="*/ 1143635 w 2171700"/>
                <a:gd name="connsiteY3" fmla="*/ 2056130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1700"/>
                <a:gd name="connsiteY0" fmla="*/ 0 h 2056130"/>
                <a:gd name="connsiteX1" fmla="*/ 1143635 w 2171700"/>
                <a:gd name="connsiteY1" fmla="*/ 0 h 2056130"/>
                <a:gd name="connsiteX2" fmla="*/ 2171700 w 2171700"/>
                <a:gd name="connsiteY2" fmla="*/ 1028065 h 2056130"/>
                <a:gd name="connsiteX3" fmla="*/ 1146480 w 2171700"/>
                <a:gd name="connsiteY3" fmla="*/ 1942008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1700"/>
                <a:gd name="connsiteY0" fmla="*/ 0 h 2056130"/>
                <a:gd name="connsiteX1" fmla="*/ 1146480 w 2171700"/>
                <a:gd name="connsiteY1" fmla="*/ 113208 h 2056130"/>
                <a:gd name="connsiteX2" fmla="*/ 2171700 w 2171700"/>
                <a:gd name="connsiteY2" fmla="*/ 1028065 h 2056130"/>
                <a:gd name="connsiteX3" fmla="*/ 1146480 w 2171700"/>
                <a:gd name="connsiteY3" fmla="*/ 1942008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5180"/>
                <a:gd name="connsiteY0" fmla="*/ 0 h 2056130"/>
                <a:gd name="connsiteX1" fmla="*/ 1146480 w 2175180"/>
                <a:gd name="connsiteY1" fmla="*/ 113208 h 2056130"/>
                <a:gd name="connsiteX2" fmla="*/ 2175180 w 2175180"/>
                <a:gd name="connsiteY2" fmla="*/ 1032180 h 2056130"/>
                <a:gd name="connsiteX3" fmla="*/ 1146480 w 2175180"/>
                <a:gd name="connsiteY3" fmla="*/ 1942008 h 2056130"/>
                <a:gd name="connsiteX4" fmla="*/ 0 w 2175180"/>
                <a:gd name="connsiteY4" fmla="*/ 2056130 h 2056130"/>
                <a:gd name="connsiteX5" fmla="*/ 0 w 2175180"/>
                <a:gd name="connsiteY5" fmla="*/ 0 h 2056130"/>
                <a:gd name="connsiteX0" fmla="*/ 0 w 2291389"/>
                <a:gd name="connsiteY0" fmla="*/ 0 h 2056130"/>
                <a:gd name="connsiteX1" fmla="*/ 1146480 w 2291389"/>
                <a:gd name="connsiteY1" fmla="*/ 113208 h 2056130"/>
                <a:gd name="connsiteX2" fmla="*/ 2291389 w 2291389"/>
                <a:gd name="connsiteY2" fmla="*/ 1030593 h 2056130"/>
                <a:gd name="connsiteX3" fmla="*/ 1146480 w 2291389"/>
                <a:gd name="connsiteY3" fmla="*/ 1942008 h 2056130"/>
                <a:gd name="connsiteX4" fmla="*/ 0 w 2291389"/>
                <a:gd name="connsiteY4" fmla="*/ 2056130 h 2056130"/>
                <a:gd name="connsiteX5" fmla="*/ 0 w 2291389"/>
                <a:gd name="connsiteY5" fmla="*/ 0 h 2056130"/>
                <a:gd name="connsiteX0" fmla="*/ 0 w 2291389"/>
                <a:gd name="connsiteY0" fmla="*/ 1 h 2056131"/>
                <a:gd name="connsiteX1" fmla="*/ 1147804 w 2291389"/>
                <a:gd name="connsiteY1" fmla="*/ 0 h 2056131"/>
                <a:gd name="connsiteX2" fmla="*/ 2291389 w 2291389"/>
                <a:gd name="connsiteY2" fmla="*/ 1030594 h 2056131"/>
                <a:gd name="connsiteX3" fmla="*/ 1146480 w 2291389"/>
                <a:gd name="connsiteY3" fmla="*/ 1942009 h 2056131"/>
                <a:gd name="connsiteX4" fmla="*/ 0 w 2291389"/>
                <a:gd name="connsiteY4" fmla="*/ 2056131 h 2056131"/>
                <a:gd name="connsiteX5" fmla="*/ 0 w 2291389"/>
                <a:gd name="connsiteY5" fmla="*/ 1 h 2056131"/>
                <a:gd name="connsiteX0" fmla="*/ 0 w 2291389"/>
                <a:gd name="connsiteY0" fmla="*/ 1 h 2056131"/>
                <a:gd name="connsiteX1" fmla="*/ 1147804 w 2291389"/>
                <a:gd name="connsiteY1" fmla="*/ 0 h 2056131"/>
                <a:gd name="connsiteX2" fmla="*/ 2291389 w 2291389"/>
                <a:gd name="connsiteY2" fmla="*/ 1030594 h 2056131"/>
                <a:gd name="connsiteX3" fmla="*/ 1147804 w 2291389"/>
                <a:gd name="connsiteY3" fmla="*/ 2056131 h 2056131"/>
                <a:gd name="connsiteX4" fmla="*/ 0 w 2291389"/>
                <a:gd name="connsiteY4" fmla="*/ 2056131 h 2056131"/>
                <a:gd name="connsiteX5" fmla="*/ 0 w 2291389"/>
                <a:gd name="connsiteY5" fmla="*/ 1 h 20561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2291389" h="2056131">
                  <a:moveTo>
                    <a:pt x="0" y="1"/>
                  </a:moveTo>
                  <a:lnTo>
                    <a:pt x="1147804" y="0"/>
                  </a:lnTo>
                  <a:lnTo>
                    <a:pt x="2291389" y="1030594"/>
                  </a:lnTo>
                  <a:lnTo>
                    <a:pt x="1147804" y="2056131"/>
                  </a:lnTo>
                  <a:lnTo>
                    <a:pt x="0" y="2056131"/>
                  </a:lnTo>
                  <a:lnTo>
                    <a:pt x="0" y="1"/>
                  </a:lnTo>
                  <a:close/>
                </a:path>
              </a:pathLst>
            </a:cu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21" name="Freeform 20"/>
            <xdr:cNvSpPr/>
          </xdr:nvSpPr>
          <xdr:spPr>
            <a:xfrm>
              <a:off x="-21167" y="0"/>
              <a:ext cx="2750516" cy="1492301"/>
            </a:xfrm>
            <a:custGeom>
              <a:avLst/>
              <a:gdLst>
                <a:gd name="connsiteX0" fmla="*/ 234087 w 2750516"/>
                <a:gd name="connsiteY0" fmla="*/ 1492300 h 1499616"/>
                <a:gd name="connsiteX1" fmla="*/ 0 w 2750516"/>
                <a:gd name="connsiteY1" fmla="*/ 1492300 h 1499616"/>
                <a:gd name="connsiteX2" fmla="*/ 1375258 w 2750516"/>
                <a:gd name="connsiteY2" fmla="*/ 0 h 1499616"/>
                <a:gd name="connsiteX3" fmla="*/ 2750516 w 2750516"/>
                <a:gd name="connsiteY3" fmla="*/ 1492300 h 1499616"/>
                <a:gd name="connsiteX4" fmla="*/ 2531060 w 2750516"/>
                <a:gd name="connsiteY4" fmla="*/ 1492300 h 1499616"/>
                <a:gd name="connsiteX5" fmla="*/ 1382573 w 2750516"/>
                <a:gd name="connsiteY5" fmla="*/ 226771 h 1499616"/>
                <a:gd name="connsiteX6" fmla="*/ 336500 w 2750516"/>
                <a:gd name="connsiteY6" fmla="*/ 1499616 h 1499616"/>
                <a:gd name="connsiteX7" fmla="*/ 234087 w 2750516"/>
                <a:gd name="connsiteY7" fmla="*/ 1492300 h 1499616"/>
                <a:gd name="connsiteX0" fmla="*/ 234087 w 2750516"/>
                <a:gd name="connsiteY0" fmla="*/ 1492300 h 1492300"/>
                <a:gd name="connsiteX1" fmla="*/ 0 w 2750516"/>
                <a:gd name="connsiteY1" fmla="*/ 1492300 h 1492300"/>
                <a:gd name="connsiteX2" fmla="*/ 1375258 w 2750516"/>
                <a:gd name="connsiteY2" fmla="*/ 0 h 1492300"/>
                <a:gd name="connsiteX3" fmla="*/ 2750516 w 2750516"/>
                <a:gd name="connsiteY3" fmla="*/ 1492300 h 1492300"/>
                <a:gd name="connsiteX4" fmla="*/ 2531060 w 2750516"/>
                <a:gd name="connsiteY4" fmla="*/ 1492300 h 1492300"/>
                <a:gd name="connsiteX5" fmla="*/ 1382573 w 2750516"/>
                <a:gd name="connsiteY5" fmla="*/ 226771 h 1492300"/>
                <a:gd name="connsiteX6" fmla="*/ 234087 w 2750516"/>
                <a:gd name="connsiteY6" fmla="*/ 1492300 h 14923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750516" h="1492300">
                  <a:moveTo>
                    <a:pt x="234087" y="1492300"/>
                  </a:moveTo>
                  <a:lnTo>
                    <a:pt x="0" y="1492300"/>
                  </a:lnTo>
                  <a:lnTo>
                    <a:pt x="1375258" y="0"/>
                  </a:lnTo>
                  <a:lnTo>
                    <a:pt x="2750516" y="1492300"/>
                  </a:lnTo>
                  <a:lnTo>
                    <a:pt x="2531060" y="1492300"/>
                  </a:lnTo>
                  <a:lnTo>
                    <a:pt x="1382573" y="226771"/>
                  </a:lnTo>
                  <a:lnTo>
                    <a:pt x="234087" y="1492300"/>
                  </a:lnTo>
                  <a:close/>
                </a:path>
              </a:pathLst>
            </a:cu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22" name="Freeform 21"/>
            <xdr:cNvSpPr/>
          </xdr:nvSpPr>
          <xdr:spPr>
            <a:xfrm>
              <a:off x="329184" y="358444"/>
              <a:ext cx="409652" cy="760781"/>
            </a:xfrm>
            <a:custGeom>
              <a:avLst/>
              <a:gdLst>
                <a:gd name="connsiteX0" fmla="*/ 14631 w 409652"/>
                <a:gd name="connsiteY0" fmla="*/ 760781 h 760781"/>
                <a:gd name="connsiteX1" fmla="*/ 0 w 409652"/>
                <a:gd name="connsiteY1" fmla="*/ 0 h 760781"/>
                <a:gd name="connsiteX2" fmla="*/ 395021 w 409652"/>
                <a:gd name="connsiteY2" fmla="*/ 0 h 760781"/>
                <a:gd name="connsiteX3" fmla="*/ 409652 w 409652"/>
                <a:gd name="connsiteY3" fmla="*/ 424282 h 760781"/>
                <a:gd name="connsiteX4" fmla="*/ 14631 w 409652"/>
                <a:gd name="connsiteY4" fmla="*/ 760781 h 7607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09652" h="760781">
                  <a:moveTo>
                    <a:pt x="14631" y="760781"/>
                  </a:moveTo>
                  <a:lnTo>
                    <a:pt x="0" y="0"/>
                  </a:lnTo>
                  <a:lnTo>
                    <a:pt x="395021" y="0"/>
                  </a:lnTo>
                  <a:lnTo>
                    <a:pt x="409652" y="424282"/>
                  </a:lnTo>
                  <a:lnTo>
                    <a:pt x="14631" y="760781"/>
                  </a:lnTo>
                  <a:close/>
                </a:path>
              </a:pathLst>
            </a:cu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23" name="Rectangle 22"/>
            <xdr:cNvSpPr/>
          </xdr:nvSpPr>
          <xdr:spPr>
            <a:xfrm>
              <a:off x="1141172" y="2055571"/>
              <a:ext cx="457200" cy="576149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grpSp>
          <xdr:nvGrpSpPr>
            <xdr:cNvPr id="24" name="Group 23"/>
            <xdr:cNvGrpSpPr/>
          </xdr:nvGrpSpPr>
          <xdr:grpSpPr>
            <a:xfrm>
              <a:off x="570586" y="1580083"/>
              <a:ext cx="342900" cy="339725"/>
              <a:chOff x="0" y="0"/>
              <a:chExt cx="342900" cy="339725"/>
            </a:xfrm>
          </xdr:grpSpPr>
          <xdr:sp macro="" textlink="">
            <xdr:nvSpPr>
              <xdr:cNvPr id="29" name="Rectangle 28"/>
              <xdr:cNvSpPr/>
            </xdr:nvSpPr>
            <xdr:spPr>
              <a:xfrm>
                <a:off x="0" y="0"/>
                <a:ext cx="342900" cy="339725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endParaRPr lang="en-IN"/>
              </a:p>
            </xdr:txBody>
          </xdr:sp>
          <xdr:cxnSp macro="">
            <xdr:nvCxnSpPr>
              <xdr:cNvPr id="30" name="Straight Connector 29"/>
              <xdr:cNvCxnSpPr/>
            </xdr:nvCxnSpPr>
            <xdr:spPr>
              <a:xfrm>
                <a:off x="168250" y="0"/>
                <a:ext cx="0" cy="33972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1" name="Straight Connector 30"/>
              <xdr:cNvCxnSpPr/>
            </xdr:nvCxnSpPr>
            <xdr:spPr>
              <a:xfrm>
                <a:off x="0" y="138989"/>
                <a:ext cx="342900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25" name="Group 24"/>
            <xdr:cNvGrpSpPr/>
          </xdr:nvGrpSpPr>
          <xdr:grpSpPr>
            <a:xfrm>
              <a:off x="1828800" y="1580083"/>
              <a:ext cx="342900" cy="339725"/>
              <a:chOff x="0" y="0"/>
              <a:chExt cx="342900" cy="339725"/>
            </a:xfrm>
          </xdr:grpSpPr>
          <xdr:sp macro="" textlink="">
            <xdr:nvSpPr>
              <xdr:cNvPr id="26" name="Rectangle 25"/>
              <xdr:cNvSpPr/>
            </xdr:nvSpPr>
            <xdr:spPr>
              <a:xfrm>
                <a:off x="0" y="0"/>
                <a:ext cx="342900" cy="339725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endParaRPr lang="en-IN"/>
              </a:p>
            </xdr:txBody>
          </xdr:sp>
          <xdr:cxnSp macro="">
            <xdr:nvCxnSpPr>
              <xdr:cNvPr id="27" name="Straight Connector 26"/>
              <xdr:cNvCxnSpPr/>
            </xdr:nvCxnSpPr>
            <xdr:spPr>
              <a:xfrm>
                <a:off x="168250" y="0"/>
                <a:ext cx="0" cy="33972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8" name="Straight Connector 27"/>
              <xdr:cNvCxnSpPr/>
            </xdr:nvCxnSpPr>
            <xdr:spPr>
              <a:xfrm>
                <a:off x="0" y="138989"/>
                <a:ext cx="342900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219075</xdr:colOff>
      <xdr:row>1</xdr:row>
      <xdr:rowOff>47625</xdr:rowOff>
    </xdr:from>
    <xdr:to>
      <xdr:col>19</xdr:col>
      <xdr:colOff>484505</xdr:colOff>
      <xdr:row>8</xdr:row>
      <xdr:rowOff>128270</xdr:rowOff>
    </xdr:to>
    <xdr:grpSp>
      <xdr:nvGrpSpPr>
        <xdr:cNvPr id="2" name="Group 1">
          <a:hlinkClick xmlns:r="http://schemas.openxmlformats.org/officeDocument/2006/relationships" r:id="rId1"/>
        </xdr:cNvPr>
        <xdr:cNvGrpSpPr/>
      </xdr:nvGrpSpPr>
      <xdr:grpSpPr>
        <a:xfrm>
          <a:off x="10582275" y="238125"/>
          <a:ext cx="1484630" cy="1414145"/>
          <a:chOff x="0" y="0"/>
          <a:chExt cx="3299155" cy="2940710"/>
        </a:xfrm>
      </xdr:grpSpPr>
      <xdr:sp macro="" textlink="">
        <xdr:nvSpPr>
          <xdr:cNvPr id="3" name="Rounded Rectangle 2"/>
          <xdr:cNvSpPr/>
        </xdr:nvSpPr>
        <xdr:spPr>
          <a:xfrm>
            <a:off x="0" y="0"/>
            <a:ext cx="3299155" cy="2940710"/>
          </a:xfrm>
          <a:prstGeom prst="roundRect">
            <a:avLst/>
          </a:prstGeom>
          <a:solidFill>
            <a:schemeClr val="tx2">
              <a:lumMod val="60000"/>
              <a:lumOff val="40000"/>
            </a:schemeClr>
          </a:solidFill>
          <a:ln w="76200">
            <a:solidFill>
              <a:schemeClr val="tx1"/>
            </a:solidFill>
          </a:ln>
          <a:scene3d>
            <a:camera prst="orthographicFront"/>
            <a:lightRig rig="threePt" dir="t"/>
          </a:scene3d>
          <a:sp3d>
            <a:bevelB h="12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endParaRPr lang="en-IN"/>
          </a:p>
        </xdr:txBody>
      </xdr:sp>
      <xdr:grpSp>
        <xdr:nvGrpSpPr>
          <xdr:cNvPr id="4" name="Group 3"/>
          <xdr:cNvGrpSpPr/>
        </xdr:nvGrpSpPr>
        <xdr:grpSpPr>
          <a:xfrm>
            <a:off x="205604" y="117044"/>
            <a:ext cx="2750516" cy="2634618"/>
            <a:chOff x="-21167" y="0"/>
            <a:chExt cx="2750516" cy="2634618"/>
          </a:xfrm>
        </xdr:grpSpPr>
        <xdr:sp macro="" textlink="">
          <xdr:nvSpPr>
            <xdr:cNvPr id="5" name="Pentagon 8"/>
            <xdr:cNvSpPr/>
          </xdr:nvSpPr>
          <xdr:spPr>
            <a:xfrm rot="16200000">
              <a:off x="226771" y="460858"/>
              <a:ext cx="2291389" cy="2056131"/>
            </a:xfrm>
            <a:custGeom>
              <a:avLst/>
              <a:gdLst>
                <a:gd name="connsiteX0" fmla="*/ 0 w 2171700"/>
                <a:gd name="connsiteY0" fmla="*/ 0 h 2056130"/>
                <a:gd name="connsiteX1" fmla="*/ 1143635 w 2171700"/>
                <a:gd name="connsiteY1" fmla="*/ 0 h 2056130"/>
                <a:gd name="connsiteX2" fmla="*/ 2171700 w 2171700"/>
                <a:gd name="connsiteY2" fmla="*/ 1028065 h 2056130"/>
                <a:gd name="connsiteX3" fmla="*/ 1143635 w 2171700"/>
                <a:gd name="connsiteY3" fmla="*/ 2056130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1700"/>
                <a:gd name="connsiteY0" fmla="*/ 0 h 2056130"/>
                <a:gd name="connsiteX1" fmla="*/ 1143635 w 2171700"/>
                <a:gd name="connsiteY1" fmla="*/ 0 h 2056130"/>
                <a:gd name="connsiteX2" fmla="*/ 2171700 w 2171700"/>
                <a:gd name="connsiteY2" fmla="*/ 1028065 h 2056130"/>
                <a:gd name="connsiteX3" fmla="*/ 1146480 w 2171700"/>
                <a:gd name="connsiteY3" fmla="*/ 1942008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1700"/>
                <a:gd name="connsiteY0" fmla="*/ 0 h 2056130"/>
                <a:gd name="connsiteX1" fmla="*/ 1146480 w 2171700"/>
                <a:gd name="connsiteY1" fmla="*/ 113208 h 2056130"/>
                <a:gd name="connsiteX2" fmla="*/ 2171700 w 2171700"/>
                <a:gd name="connsiteY2" fmla="*/ 1028065 h 2056130"/>
                <a:gd name="connsiteX3" fmla="*/ 1146480 w 2171700"/>
                <a:gd name="connsiteY3" fmla="*/ 1942008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5180"/>
                <a:gd name="connsiteY0" fmla="*/ 0 h 2056130"/>
                <a:gd name="connsiteX1" fmla="*/ 1146480 w 2175180"/>
                <a:gd name="connsiteY1" fmla="*/ 113208 h 2056130"/>
                <a:gd name="connsiteX2" fmla="*/ 2175180 w 2175180"/>
                <a:gd name="connsiteY2" fmla="*/ 1032180 h 2056130"/>
                <a:gd name="connsiteX3" fmla="*/ 1146480 w 2175180"/>
                <a:gd name="connsiteY3" fmla="*/ 1942008 h 2056130"/>
                <a:gd name="connsiteX4" fmla="*/ 0 w 2175180"/>
                <a:gd name="connsiteY4" fmla="*/ 2056130 h 2056130"/>
                <a:gd name="connsiteX5" fmla="*/ 0 w 2175180"/>
                <a:gd name="connsiteY5" fmla="*/ 0 h 2056130"/>
                <a:gd name="connsiteX0" fmla="*/ 0 w 2291389"/>
                <a:gd name="connsiteY0" fmla="*/ 0 h 2056130"/>
                <a:gd name="connsiteX1" fmla="*/ 1146480 w 2291389"/>
                <a:gd name="connsiteY1" fmla="*/ 113208 h 2056130"/>
                <a:gd name="connsiteX2" fmla="*/ 2291389 w 2291389"/>
                <a:gd name="connsiteY2" fmla="*/ 1030593 h 2056130"/>
                <a:gd name="connsiteX3" fmla="*/ 1146480 w 2291389"/>
                <a:gd name="connsiteY3" fmla="*/ 1942008 h 2056130"/>
                <a:gd name="connsiteX4" fmla="*/ 0 w 2291389"/>
                <a:gd name="connsiteY4" fmla="*/ 2056130 h 2056130"/>
                <a:gd name="connsiteX5" fmla="*/ 0 w 2291389"/>
                <a:gd name="connsiteY5" fmla="*/ 0 h 2056130"/>
                <a:gd name="connsiteX0" fmla="*/ 0 w 2291389"/>
                <a:gd name="connsiteY0" fmla="*/ 1 h 2056131"/>
                <a:gd name="connsiteX1" fmla="*/ 1147804 w 2291389"/>
                <a:gd name="connsiteY1" fmla="*/ 0 h 2056131"/>
                <a:gd name="connsiteX2" fmla="*/ 2291389 w 2291389"/>
                <a:gd name="connsiteY2" fmla="*/ 1030594 h 2056131"/>
                <a:gd name="connsiteX3" fmla="*/ 1146480 w 2291389"/>
                <a:gd name="connsiteY3" fmla="*/ 1942009 h 2056131"/>
                <a:gd name="connsiteX4" fmla="*/ 0 w 2291389"/>
                <a:gd name="connsiteY4" fmla="*/ 2056131 h 2056131"/>
                <a:gd name="connsiteX5" fmla="*/ 0 w 2291389"/>
                <a:gd name="connsiteY5" fmla="*/ 1 h 2056131"/>
                <a:gd name="connsiteX0" fmla="*/ 0 w 2291389"/>
                <a:gd name="connsiteY0" fmla="*/ 1 h 2056131"/>
                <a:gd name="connsiteX1" fmla="*/ 1147804 w 2291389"/>
                <a:gd name="connsiteY1" fmla="*/ 0 h 2056131"/>
                <a:gd name="connsiteX2" fmla="*/ 2291389 w 2291389"/>
                <a:gd name="connsiteY2" fmla="*/ 1030594 h 2056131"/>
                <a:gd name="connsiteX3" fmla="*/ 1147804 w 2291389"/>
                <a:gd name="connsiteY3" fmla="*/ 2056131 h 2056131"/>
                <a:gd name="connsiteX4" fmla="*/ 0 w 2291389"/>
                <a:gd name="connsiteY4" fmla="*/ 2056131 h 2056131"/>
                <a:gd name="connsiteX5" fmla="*/ 0 w 2291389"/>
                <a:gd name="connsiteY5" fmla="*/ 1 h 20561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2291389" h="2056131">
                  <a:moveTo>
                    <a:pt x="0" y="1"/>
                  </a:moveTo>
                  <a:lnTo>
                    <a:pt x="1147804" y="0"/>
                  </a:lnTo>
                  <a:lnTo>
                    <a:pt x="2291389" y="1030594"/>
                  </a:lnTo>
                  <a:lnTo>
                    <a:pt x="1147804" y="2056131"/>
                  </a:lnTo>
                  <a:lnTo>
                    <a:pt x="0" y="2056131"/>
                  </a:lnTo>
                  <a:lnTo>
                    <a:pt x="0" y="1"/>
                  </a:lnTo>
                  <a:close/>
                </a:path>
              </a:pathLst>
            </a:cu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6" name="Freeform 5"/>
            <xdr:cNvSpPr/>
          </xdr:nvSpPr>
          <xdr:spPr>
            <a:xfrm>
              <a:off x="-21167" y="0"/>
              <a:ext cx="2750516" cy="1492301"/>
            </a:xfrm>
            <a:custGeom>
              <a:avLst/>
              <a:gdLst>
                <a:gd name="connsiteX0" fmla="*/ 234087 w 2750516"/>
                <a:gd name="connsiteY0" fmla="*/ 1492300 h 1499616"/>
                <a:gd name="connsiteX1" fmla="*/ 0 w 2750516"/>
                <a:gd name="connsiteY1" fmla="*/ 1492300 h 1499616"/>
                <a:gd name="connsiteX2" fmla="*/ 1375258 w 2750516"/>
                <a:gd name="connsiteY2" fmla="*/ 0 h 1499616"/>
                <a:gd name="connsiteX3" fmla="*/ 2750516 w 2750516"/>
                <a:gd name="connsiteY3" fmla="*/ 1492300 h 1499616"/>
                <a:gd name="connsiteX4" fmla="*/ 2531060 w 2750516"/>
                <a:gd name="connsiteY4" fmla="*/ 1492300 h 1499616"/>
                <a:gd name="connsiteX5" fmla="*/ 1382573 w 2750516"/>
                <a:gd name="connsiteY5" fmla="*/ 226771 h 1499616"/>
                <a:gd name="connsiteX6" fmla="*/ 336500 w 2750516"/>
                <a:gd name="connsiteY6" fmla="*/ 1499616 h 1499616"/>
                <a:gd name="connsiteX7" fmla="*/ 234087 w 2750516"/>
                <a:gd name="connsiteY7" fmla="*/ 1492300 h 1499616"/>
                <a:gd name="connsiteX0" fmla="*/ 234087 w 2750516"/>
                <a:gd name="connsiteY0" fmla="*/ 1492300 h 1492300"/>
                <a:gd name="connsiteX1" fmla="*/ 0 w 2750516"/>
                <a:gd name="connsiteY1" fmla="*/ 1492300 h 1492300"/>
                <a:gd name="connsiteX2" fmla="*/ 1375258 w 2750516"/>
                <a:gd name="connsiteY2" fmla="*/ 0 h 1492300"/>
                <a:gd name="connsiteX3" fmla="*/ 2750516 w 2750516"/>
                <a:gd name="connsiteY3" fmla="*/ 1492300 h 1492300"/>
                <a:gd name="connsiteX4" fmla="*/ 2531060 w 2750516"/>
                <a:gd name="connsiteY4" fmla="*/ 1492300 h 1492300"/>
                <a:gd name="connsiteX5" fmla="*/ 1382573 w 2750516"/>
                <a:gd name="connsiteY5" fmla="*/ 226771 h 1492300"/>
                <a:gd name="connsiteX6" fmla="*/ 234087 w 2750516"/>
                <a:gd name="connsiteY6" fmla="*/ 1492300 h 14923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750516" h="1492300">
                  <a:moveTo>
                    <a:pt x="234087" y="1492300"/>
                  </a:moveTo>
                  <a:lnTo>
                    <a:pt x="0" y="1492300"/>
                  </a:lnTo>
                  <a:lnTo>
                    <a:pt x="1375258" y="0"/>
                  </a:lnTo>
                  <a:lnTo>
                    <a:pt x="2750516" y="1492300"/>
                  </a:lnTo>
                  <a:lnTo>
                    <a:pt x="2531060" y="1492300"/>
                  </a:lnTo>
                  <a:lnTo>
                    <a:pt x="1382573" y="226771"/>
                  </a:lnTo>
                  <a:lnTo>
                    <a:pt x="234087" y="1492300"/>
                  </a:lnTo>
                  <a:close/>
                </a:path>
              </a:pathLst>
            </a:cu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7" name="Freeform 6"/>
            <xdr:cNvSpPr/>
          </xdr:nvSpPr>
          <xdr:spPr>
            <a:xfrm>
              <a:off x="329184" y="358444"/>
              <a:ext cx="409652" cy="760781"/>
            </a:xfrm>
            <a:custGeom>
              <a:avLst/>
              <a:gdLst>
                <a:gd name="connsiteX0" fmla="*/ 14631 w 409652"/>
                <a:gd name="connsiteY0" fmla="*/ 760781 h 760781"/>
                <a:gd name="connsiteX1" fmla="*/ 0 w 409652"/>
                <a:gd name="connsiteY1" fmla="*/ 0 h 760781"/>
                <a:gd name="connsiteX2" fmla="*/ 395021 w 409652"/>
                <a:gd name="connsiteY2" fmla="*/ 0 h 760781"/>
                <a:gd name="connsiteX3" fmla="*/ 409652 w 409652"/>
                <a:gd name="connsiteY3" fmla="*/ 424282 h 760781"/>
                <a:gd name="connsiteX4" fmla="*/ 14631 w 409652"/>
                <a:gd name="connsiteY4" fmla="*/ 760781 h 7607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09652" h="760781">
                  <a:moveTo>
                    <a:pt x="14631" y="760781"/>
                  </a:moveTo>
                  <a:lnTo>
                    <a:pt x="0" y="0"/>
                  </a:lnTo>
                  <a:lnTo>
                    <a:pt x="395021" y="0"/>
                  </a:lnTo>
                  <a:lnTo>
                    <a:pt x="409652" y="424282"/>
                  </a:lnTo>
                  <a:lnTo>
                    <a:pt x="14631" y="760781"/>
                  </a:lnTo>
                  <a:close/>
                </a:path>
              </a:pathLst>
            </a:cu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8" name="Rectangle 7"/>
            <xdr:cNvSpPr/>
          </xdr:nvSpPr>
          <xdr:spPr>
            <a:xfrm>
              <a:off x="1141172" y="2055571"/>
              <a:ext cx="457200" cy="576149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grpSp>
          <xdr:nvGrpSpPr>
            <xdr:cNvPr id="9" name="Group 8"/>
            <xdr:cNvGrpSpPr/>
          </xdr:nvGrpSpPr>
          <xdr:grpSpPr>
            <a:xfrm>
              <a:off x="570586" y="1580083"/>
              <a:ext cx="342900" cy="339725"/>
              <a:chOff x="0" y="0"/>
              <a:chExt cx="342900" cy="339725"/>
            </a:xfrm>
          </xdr:grpSpPr>
          <xdr:sp macro="" textlink="">
            <xdr:nvSpPr>
              <xdr:cNvPr id="14" name="Rectangle 13"/>
              <xdr:cNvSpPr/>
            </xdr:nvSpPr>
            <xdr:spPr>
              <a:xfrm>
                <a:off x="0" y="0"/>
                <a:ext cx="342900" cy="339725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endParaRPr lang="en-IN"/>
              </a:p>
            </xdr:txBody>
          </xdr:sp>
          <xdr:cxnSp macro="">
            <xdr:nvCxnSpPr>
              <xdr:cNvPr id="15" name="Straight Connector 14"/>
              <xdr:cNvCxnSpPr/>
            </xdr:nvCxnSpPr>
            <xdr:spPr>
              <a:xfrm>
                <a:off x="168250" y="0"/>
                <a:ext cx="0" cy="33972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Straight Connector 15"/>
              <xdr:cNvCxnSpPr/>
            </xdr:nvCxnSpPr>
            <xdr:spPr>
              <a:xfrm>
                <a:off x="0" y="138989"/>
                <a:ext cx="342900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0" name="Group 9"/>
            <xdr:cNvGrpSpPr/>
          </xdr:nvGrpSpPr>
          <xdr:grpSpPr>
            <a:xfrm>
              <a:off x="1828800" y="1580083"/>
              <a:ext cx="342900" cy="339725"/>
              <a:chOff x="0" y="0"/>
              <a:chExt cx="342900" cy="339725"/>
            </a:xfrm>
          </xdr:grpSpPr>
          <xdr:sp macro="" textlink="">
            <xdr:nvSpPr>
              <xdr:cNvPr id="11" name="Rectangle 10"/>
              <xdr:cNvSpPr/>
            </xdr:nvSpPr>
            <xdr:spPr>
              <a:xfrm>
                <a:off x="0" y="0"/>
                <a:ext cx="342900" cy="339725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endParaRPr lang="en-IN"/>
              </a:p>
            </xdr:txBody>
          </xdr:sp>
          <xdr:cxnSp macro="">
            <xdr:nvCxnSpPr>
              <xdr:cNvPr id="12" name="Straight Connector 11"/>
              <xdr:cNvCxnSpPr/>
            </xdr:nvCxnSpPr>
            <xdr:spPr>
              <a:xfrm>
                <a:off x="168250" y="0"/>
                <a:ext cx="0" cy="33972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3" name="Straight Connector 12"/>
              <xdr:cNvCxnSpPr/>
            </xdr:nvCxnSpPr>
            <xdr:spPr>
              <a:xfrm>
                <a:off x="0" y="138989"/>
                <a:ext cx="342900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1</xdr:row>
      <xdr:rowOff>38100</xdr:rowOff>
    </xdr:from>
    <xdr:to>
      <xdr:col>19</xdr:col>
      <xdr:colOff>446405</xdr:colOff>
      <xdr:row>8</xdr:row>
      <xdr:rowOff>118745</xdr:rowOff>
    </xdr:to>
    <xdr:grpSp>
      <xdr:nvGrpSpPr>
        <xdr:cNvPr id="17" name="Group 16">
          <a:hlinkClick xmlns:r="http://schemas.openxmlformats.org/officeDocument/2006/relationships" r:id="rId1"/>
        </xdr:cNvPr>
        <xdr:cNvGrpSpPr/>
      </xdr:nvGrpSpPr>
      <xdr:grpSpPr>
        <a:xfrm>
          <a:off x="10544175" y="228600"/>
          <a:ext cx="1484630" cy="1414145"/>
          <a:chOff x="0" y="0"/>
          <a:chExt cx="3299155" cy="2940710"/>
        </a:xfrm>
      </xdr:grpSpPr>
      <xdr:sp macro="" textlink="">
        <xdr:nvSpPr>
          <xdr:cNvPr id="18" name="Rounded Rectangle 17"/>
          <xdr:cNvSpPr/>
        </xdr:nvSpPr>
        <xdr:spPr>
          <a:xfrm>
            <a:off x="0" y="0"/>
            <a:ext cx="3299155" cy="2940710"/>
          </a:xfrm>
          <a:prstGeom prst="roundRect">
            <a:avLst/>
          </a:prstGeom>
          <a:solidFill>
            <a:schemeClr val="tx2">
              <a:lumMod val="60000"/>
              <a:lumOff val="40000"/>
            </a:schemeClr>
          </a:solidFill>
          <a:ln w="76200">
            <a:solidFill>
              <a:schemeClr val="tx1"/>
            </a:solidFill>
          </a:ln>
          <a:scene3d>
            <a:camera prst="orthographicFront"/>
            <a:lightRig rig="threePt" dir="t"/>
          </a:scene3d>
          <a:sp3d>
            <a:bevelB h="12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endParaRPr lang="en-IN"/>
          </a:p>
        </xdr:txBody>
      </xdr:sp>
      <xdr:grpSp>
        <xdr:nvGrpSpPr>
          <xdr:cNvPr id="19" name="Group 18"/>
          <xdr:cNvGrpSpPr/>
        </xdr:nvGrpSpPr>
        <xdr:grpSpPr>
          <a:xfrm>
            <a:off x="205604" y="117044"/>
            <a:ext cx="2750516" cy="2634618"/>
            <a:chOff x="-21167" y="0"/>
            <a:chExt cx="2750516" cy="2634618"/>
          </a:xfrm>
        </xdr:grpSpPr>
        <xdr:sp macro="" textlink="">
          <xdr:nvSpPr>
            <xdr:cNvPr id="20" name="Pentagon 8"/>
            <xdr:cNvSpPr/>
          </xdr:nvSpPr>
          <xdr:spPr>
            <a:xfrm rot="16200000">
              <a:off x="226771" y="460858"/>
              <a:ext cx="2291389" cy="2056131"/>
            </a:xfrm>
            <a:custGeom>
              <a:avLst/>
              <a:gdLst>
                <a:gd name="connsiteX0" fmla="*/ 0 w 2171700"/>
                <a:gd name="connsiteY0" fmla="*/ 0 h 2056130"/>
                <a:gd name="connsiteX1" fmla="*/ 1143635 w 2171700"/>
                <a:gd name="connsiteY1" fmla="*/ 0 h 2056130"/>
                <a:gd name="connsiteX2" fmla="*/ 2171700 w 2171700"/>
                <a:gd name="connsiteY2" fmla="*/ 1028065 h 2056130"/>
                <a:gd name="connsiteX3" fmla="*/ 1143635 w 2171700"/>
                <a:gd name="connsiteY3" fmla="*/ 2056130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1700"/>
                <a:gd name="connsiteY0" fmla="*/ 0 h 2056130"/>
                <a:gd name="connsiteX1" fmla="*/ 1143635 w 2171700"/>
                <a:gd name="connsiteY1" fmla="*/ 0 h 2056130"/>
                <a:gd name="connsiteX2" fmla="*/ 2171700 w 2171700"/>
                <a:gd name="connsiteY2" fmla="*/ 1028065 h 2056130"/>
                <a:gd name="connsiteX3" fmla="*/ 1146480 w 2171700"/>
                <a:gd name="connsiteY3" fmla="*/ 1942008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1700"/>
                <a:gd name="connsiteY0" fmla="*/ 0 h 2056130"/>
                <a:gd name="connsiteX1" fmla="*/ 1146480 w 2171700"/>
                <a:gd name="connsiteY1" fmla="*/ 113208 h 2056130"/>
                <a:gd name="connsiteX2" fmla="*/ 2171700 w 2171700"/>
                <a:gd name="connsiteY2" fmla="*/ 1028065 h 2056130"/>
                <a:gd name="connsiteX3" fmla="*/ 1146480 w 2171700"/>
                <a:gd name="connsiteY3" fmla="*/ 1942008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5180"/>
                <a:gd name="connsiteY0" fmla="*/ 0 h 2056130"/>
                <a:gd name="connsiteX1" fmla="*/ 1146480 w 2175180"/>
                <a:gd name="connsiteY1" fmla="*/ 113208 h 2056130"/>
                <a:gd name="connsiteX2" fmla="*/ 2175180 w 2175180"/>
                <a:gd name="connsiteY2" fmla="*/ 1032180 h 2056130"/>
                <a:gd name="connsiteX3" fmla="*/ 1146480 w 2175180"/>
                <a:gd name="connsiteY3" fmla="*/ 1942008 h 2056130"/>
                <a:gd name="connsiteX4" fmla="*/ 0 w 2175180"/>
                <a:gd name="connsiteY4" fmla="*/ 2056130 h 2056130"/>
                <a:gd name="connsiteX5" fmla="*/ 0 w 2175180"/>
                <a:gd name="connsiteY5" fmla="*/ 0 h 2056130"/>
                <a:gd name="connsiteX0" fmla="*/ 0 w 2291389"/>
                <a:gd name="connsiteY0" fmla="*/ 0 h 2056130"/>
                <a:gd name="connsiteX1" fmla="*/ 1146480 w 2291389"/>
                <a:gd name="connsiteY1" fmla="*/ 113208 h 2056130"/>
                <a:gd name="connsiteX2" fmla="*/ 2291389 w 2291389"/>
                <a:gd name="connsiteY2" fmla="*/ 1030593 h 2056130"/>
                <a:gd name="connsiteX3" fmla="*/ 1146480 w 2291389"/>
                <a:gd name="connsiteY3" fmla="*/ 1942008 h 2056130"/>
                <a:gd name="connsiteX4" fmla="*/ 0 w 2291389"/>
                <a:gd name="connsiteY4" fmla="*/ 2056130 h 2056130"/>
                <a:gd name="connsiteX5" fmla="*/ 0 w 2291389"/>
                <a:gd name="connsiteY5" fmla="*/ 0 h 2056130"/>
                <a:gd name="connsiteX0" fmla="*/ 0 w 2291389"/>
                <a:gd name="connsiteY0" fmla="*/ 1 h 2056131"/>
                <a:gd name="connsiteX1" fmla="*/ 1147804 w 2291389"/>
                <a:gd name="connsiteY1" fmla="*/ 0 h 2056131"/>
                <a:gd name="connsiteX2" fmla="*/ 2291389 w 2291389"/>
                <a:gd name="connsiteY2" fmla="*/ 1030594 h 2056131"/>
                <a:gd name="connsiteX3" fmla="*/ 1146480 w 2291389"/>
                <a:gd name="connsiteY3" fmla="*/ 1942009 h 2056131"/>
                <a:gd name="connsiteX4" fmla="*/ 0 w 2291389"/>
                <a:gd name="connsiteY4" fmla="*/ 2056131 h 2056131"/>
                <a:gd name="connsiteX5" fmla="*/ 0 w 2291389"/>
                <a:gd name="connsiteY5" fmla="*/ 1 h 2056131"/>
                <a:gd name="connsiteX0" fmla="*/ 0 w 2291389"/>
                <a:gd name="connsiteY0" fmla="*/ 1 h 2056131"/>
                <a:gd name="connsiteX1" fmla="*/ 1147804 w 2291389"/>
                <a:gd name="connsiteY1" fmla="*/ 0 h 2056131"/>
                <a:gd name="connsiteX2" fmla="*/ 2291389 w 2291389"/>
                <a:gd name="connsiteY2" fmla="*/ 1030594 h 2056131"/>
                <a:gd name="connsiteX3" fmla="*/ 1147804 w 2291389"/>
                <a:gd name="connsiteY3" fmla="*/ 2056131 h 2056131"/>
                <a:gd name="connsiteX4" fmla="*/ 0 w 2291389"/>
                <a:gd name="connsiteY4" fmla="*/ 2056131 h 2056131"/>
                <a:gd name="connsiteX5" fmla="*/ 0 w 2291389"/>
                <a:gd name="connsiteY5" fmla="*/ 1 h 20561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2291389" h="2056131">
                  <a:moveTo>
                    <a:pt x="0" y="1"/>
                  </a:moveTo>
                  <a:lnTo>
                    <a:pt x="1147804" y="0"/>
                  </a:lnTo>
                  <a:lnTo>
                    <a:pt x="2291389" y="1030594"/>
                  </a:lnTo>
                  <a:lnTo>
                    <a:pt x="1147804" y="2056131"/>
                  </a:lnTo>
                  <a:lnTo>
                    <a:pt x="0" y="2056131"/>
                  </a:lnTo>
                  <a:lnTo>
                    <a:pt x="0" y="1"/>
                  </a:lnTo>
                  <a:close/>
                </a:path>
              </a:pathLst>
            </a:cu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21" name="Freeform 20"/>
            <xdr:cNvSpPr/>
          </xdr:nvSpPr>
          <xdr:spPr>
            <a:xfrm>
              <a:off x="-21167" y="0"/>
              <a:ext cx="2750516" cy="1492301"/>
            </a:xfrm>
            <a:custGeom>
              <a:avLst/>
              <a:gdLst>
                <a:gd name="connsiteX0" fmla="*/ 234087 w 2750516"/>
                <a:gd name="connsiteY0" fmla="*/ 1492300 h 1499616"/>
                <a:gd name="connsiteX1" fmla="*/ 0 w 2750516"/>
                <a:gd name="connsiteY1" fmla="*/ 1492300 h 1499616"/>
                <a:gd name="connsiteX2" fmla="*/ 1375258 w 2750516"/>
                <a:gd name="connsiteY2" fmla="*/ 0 h 1499616"/>
                <a:gd name="connsiteX3" fmla="*/ 2750516 w 2750516"/>
                <a:gd name="connsiteY3" fmla="*/ 1492300 h 1499616"/>
                <a:gd name="connsiteX4" fmla="*/ 2531060 w 2750516"/>
                <a:gd name="connsiteY4" fmla="*/ 1492300 h 1499616"/>
                <a:gd name="connsiteX5" fmla="*/ 1382573 w 2750516"/>
                <a:gd name="connsiteY5" fmla="*/ 226771 h 1499616"/>
                <a:gd name="connsiteX6" fmla="*/ 336500 w 2750516"/>
                <a:gd name="connsiteY6" fmla="*/ 1499616 h 1499616"/>
                <a:gd name="connsiteX7" fmla="*/ 234087 w 2750516"/>
                <a:gd name="connsiteY7" fmla="*/ 1492300 h 1499616"/>
                <a:gd name="connsiteX0" fmla="*/ 234087 w 2750516"/>
                <a:gd name="connsiteY0" fmla="*/ 1492300 h 1492300"/>
                <a:gd name="connsiteX1" fmla="*/ 0 w 2750516"/>
                <a:gd name="connsiteY1" fmla="*/ 1492300 h 1492300"/>
                <a:gd name="connsiteX2" fmla="*/ 1375258 w 2750516"/>
                <a:gd name="connsiteY2" fmla="*/ 0 h 1492300"/>
                <a:gd name="connsiteX3" fmla="*/ 2750516 w 2750516"/>
                <a:gd name="connsiteY3" fmla="*/ 1492300 h 1492300"/>
                <a:gd name="connsiteX4" fmla="*/ 2531060 w 2750516"/>
                <a:gd name="connsiteY4" fmla="*/ 1492300 h 1492300"/>
                <a:gd name="connsiteX5" fmla="*/ 1382573 w 2750516"/>
                <a:gd name="connsiteY5" fmla="*/ 226771 h 1492300"/>
                <a:gd name="connsiteX6" fmla="*/ 234087 w 2750516"/>
                <a:gd name="connsiteY6" fmla="*/ 1492300 h 14923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750516" h="1492300">
                  <a:moveTo>
                    <a:pt x="234087" y="1492300"/>
                  </a:moveTo>
                  <a:lnTo>
                    <a:pt x="0" y="1492300"/>
                  </a:lnTo>
                  <a:lnTo>
                    <a:pt x="1375258" y="0"/>
                  </a:lnTo>
                  <a:lnTo>
                    <a:pt x="2750516" y="1492300"/>
                  </a:lnTo>
                  <a:lnTo>
                    <a:pt x="2531060" y="1492300"/>
                  </a:lnTo>
                  <a:lnTo>
                    <a:pt x="1382573" y="226771"/>
                  </a:lnTo>
                  <a:lnTo>
                    <a:pt x="234087" y="1492300"/>
                  </a:lnTo>
                  <a:close/>
                </a:path>
              </a:pathLst>
            </a:cu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22" name="Freeform 21"/>
            <xdr:cNvSpPr/>
          </xdr:nvSpPr>
          <xdr:spPr>
            <a:xfrm>
              <a:off x="329184" y="358444"/>
              <a:ext cx="409652" cy="760781"/>
            </a:xfrm>
            <a:custGeom>
              <a:avLst/>
              <a:gdLst>
                <a:gd name="connsiteX0" fmla="*/ 14631 w 409652"/>
                <a:gd name="connsiteY0" fmla="*/ 760781 h 760781"/>
                <a:gd name="connsiteX1" fmla="*/ 0 w 409652"/>
                <a:gd name="connsiteY1" fmla="*/ 0 h 760781"/>
                <a:gd name="connsiteX2" fmla="*/ 395021 w 409652"/>
                <a:gd name="connsiteY2" fmla="*/ 0 h 760781"/>
                <a:gd name="connsiteX3" fmla="*/ 409652 w 409652"/>
                <a:gd name="connsiteY3" fmla="*/ 424282 h 760781"/>
                <a:gd name="connsiteX4" fmla="*/ 14631 w 409652"/>
                <a:gd name="connsiteY4" fmla="*/ 760781 h 7607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09652" h="760781">
                  <a:moveTo>
                    <a:pt x="14631" y="760781"/>
                  </a:moveTo>
                  <a:lnTo>
                    <a:pt x="0" y="0"/>
                  </a:lnTo>
                  <a:lnTo>
                    <a:pt x="395021" y="0"/>
                  </a:lnTo>
                  <a:lnTo>
                    <a:pt x="409652" y="424282"/>
                  </a:lnTo>
                  <a:lnTo>
                    <a:pt x="14631" y="760781"/>
                  </a:lnTo>
                  <a:close/>
                </a:path>
              </a:pathLst>
            </a:cu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23" name="Rectangle 22"/>
            <xdr:cNvSpPr/>
          </xdr:nvSpPr>
          <xdr:spPr>
            <a:xfrm>
              <a:off x="1141172" y="2055571"/>
              <a:ext cx="457200" cy="576149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grpSp>
          <xdr:nvGrpSpPr>
            <xdr:cNvPr id="24" name="Group 23"/>
            <xdr:cNvGrpSpPr/>
          </xdr:nvGrpSpPr>
          <xdr:grpSpPr>
            <a:xfrm>
              <a:off x="570586" y="1580083"/>
              <a:ext cx="342900" cy="339725"/>
              <a:chOff x="0" y="0"/>
              <a:chExt cx="342900" cy="339725"/>
            </a:xfrm>
          </xdr:grpSpPr>
          <xdr:sp macro="" textlink="">
            <xdr:nvSpPr>
              <xdr:cNvPr id="29" name="Rectangle 28"/>
              <xdr:cNvSpPr/>
            </xdr:nvSpPr>
            <xdr:spPr>
              <a:xfrm>
                <a:off x="0" y="0"/>
                <a:ext cx="342900" cy="339725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endParaRPr lang="en-IN"/>
              </a:p>
            </xdr:txBody>
          </xdr:sp>
          <xdr:cxnSp macro="">
            <xdr:nvCxnSpPr>
              <xdr:cNvPr id="30" name="Straight Connector 29"/>
              <xdr:cNvCxnSpPr/>
            </xdr:nvCxnSpPr>
            <xdr:spPr>
              <a:xfrm>
                <a:off x="168250" y="0"/>
                <a:ext cx="0" cy="33972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1" name="Straight Connector 30"/>
              <xdr:cNvCxnSpPr/>
            </xdr:nvCxnSpPr>
            <xdr:spPr>
              <a:xfrm>
                <a:off x="0" y="138989"/>
                <a:ext cx="342900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25" name="Group 24"/>
            <xdr:cNvGrpSpPr/>
          </xdr:nvGrpSpPr>
          <xdr:grpSpPr>
            <a:xfrm>
              <a:off x="1828800" y="1580083"/>
              <a:ext cx="342900" cy="339725"/>
              <a:chOff x="0" y="0"/>
              <a:chExt cx="342900" cy="339725"/>
            </a:xfrm>
          </xdr:grpSpPr>
          <xdr:sp macro="" textlink="">
            <xdr:nvSpPr>
              <xdr:cNvPr id="26" name="Rectangle 25"/>
              <xdr:cNvSpPr/>
            </xdr:nvSpPr>
            <xdr:spPr>
              <a:xfrm>
                <a:off x="0" y="0"/>
                <a:ext cx="342900" cy="339725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endParaRPr lang="en-IN"/>
              </a:p>
            </xdr:txBody>
          </xdr:sp>
          <xdr:cxnSp macro="">
            <xdr:nvCxnSpPr>
              <xdr:cNvPr id="27" name="Straight Connector 26"/>
              <xdr:cNvCxnSpPr/>
            </xdr:nvCxnSpPr>
            <xdr:spPr>
              <a:xfrm>
                <a:off x="168250" y="0"/>
                <a:ext cx="0" cy="33972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8" name="Straight Connector 27"/>
              <xdr:cNvCxnSpPr/>
            </xdr:nvCxnSpPr>
            <xdr:spPr>
              <a:xfrm>
                <a:off x="0" y="138989"/>
                <a:ext cx="342900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219075</xdr:colOff>
      <xdr:row>1</xdr:row>
      <xdr:rowOff>38100</xdr:rowOff>
    </xdr:from>
    <xdr:to>
      <xdr:col>19</xdr:col>
      <xdr:colOff>484505</xdr:colOff>
      <xdr:row>8</xdr:row>
      <xdr:rowOff>118745</xdr:rowOff>
    </xdr:to>
    <xdr:grpSp>
      <xdr:nvGrpSpPr>
        <xdr:cNvPr id="17" name="Group 16">
          <a:hlinkClick xmlns:r="http://schemas.openxmlformats.org/officeDocument/2006/relationships" r:id="rId1"/>
        </xdr:cNvPr>
        <xdr:cNvGrpSpPr/>
      </xdr:nvGrpSpPr>
      <xdr:grpSpPr>
        <a:xfrm>
          <a:off x="10582275" y="228600"/>
          <a:ext cx="1484630" cy="1414145"/>
          <a:chOff x="0" y="0"/>
          <a:chExt cx="3299155" cy="2940710"/>
        </a:xfrm>
      </xdr:grpSpPr>
      <xdr:sp macro="" textlink="">
        <xdr:nvSpPr>
          <xdr:cNvPr id="18" name="Rounded Rectangle 17"/>
          <xdr:cNvSpPr/>
        </xdr:nvSpPr>
        <xdr:spPr>
          <a:xfrm>
            <a:off x="0" y="0"/>
            <a:ext cx="3299155" cy="2940710"/>
          </a:xfrm>
          <a:prstGeom prst="roundRect">
            <a:avLst/>
          </a:prstGeom>
          <a:solidFill>
            <a:schemeClr val="tx2">
              <a:lumMod val="60000"/>
              <a:lumOff val="40000"/>
            </a:schemeClr>
          </a:solidFill>
          <a:ln w="76200">
            <a:solidFill>
              <a:schemeClr val="tx1"/>
            </a:solidFill>
          </a:ln>
          <a:scene3d>
            <a:camera prst="orthographicFront"/>
            <a:lightRig rig="threePt" dir="t"/>
          </a:scene3d>
          <a:sp3d>
            <a:bevelB h="12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endParaRPr lang="en-IN"/>
          </a:p>
        </xdr:txBody>
      </xdr:sp>
      <xdr:grpSp>
        <xdr:nvGrpSpPr>
          <xdr:cNvPr id="19" name="Group 18"/>
          <xdr:cNvGrpSpPr/>
        </xdr:nvGrpSpPr>
        <xdr:grpSpPr>
          <a:xfrm>
            <a:off x="205604" y="117044"/>
            <a:ext cx="2750516" cy="2634618"/>
            <a:chOff x="-21167" y="0"/>
            <a:chExt cx="2750516" cy="2634618"/>
          </a:xfrm>
        </xdr:grpSpPr>
        <xdr:sp macro="" textlink="">
          <xdr:nvSpPr>
            <xdr:cNvPr id="20" name="Pentagon 8"/>
            <xdr:cNvSpPr/>
          </xdr:nvSpPr>
          <xdr:spPr>
            <a:xfrm rot="16200000">
              <a:off x="226771" y="460858"/>
              <a:ext cx="2291389" cy="2056131"/>
            </a:xfrm>
            <a:custGeom>
              <a:avLst/>
              <a:gdLst>
                <a:gd name="connsiteX0" fmla="*/ 0 w 2171700"/>
                <a:gd name="connsiteY0" fmla="*/ 0 h 2056130"/>
                <a:gd name="connsiteX1" fmla="*/ 1143635 w 2171700"/>
                <a:gd name="connsiteY1" fmla="*/ 0 h 2056130"/>
                <a:gd name="connsiteX2" fmla="*/ 2171700 w 2171700"/>
                <a:gd name="connsiteY2" fmla="*/ 1028065 h 2056130"/>
                <a:gd name="connsiteX3" fmla="*/ 1143635 w 2171700"/>
                <a:gd name="connsiteY3" fmla="*/ 2056130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1700"/>
                <a:gd name="connsiteY0" fmla="*/ 0 h 2056130"/>
                <a:gd name="connsiteX1" fmla="*/ 1143635 w 2171700"/>
                <a:gd name="connsiteY1" fmla="*/ 0 h 2056130"/>
                <a:gd name="connsiteX2" fmla="*/ 2171700 w 2171700"/>
                <a:gd name="connsiteY2" fmla="*/ 1028065 h 2056130"/>
                <a:gd name="connsiteX3" fmla="*/ 1146480 w 2171700"/>
                <a:gd name="connsiteY3" fmla="*/ 1942008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1700"/>
                <a:gd name="connsiteY0" fmla="*/ 0 h 2056130"/>
                <a:gd name="connsiteX1" fmla="*/ 1146480 w 2171700"/>
                <a:gd name="connsiteY1" fmla="*/ 113208 h 2056130"/>
                <a:gd name="connsiteX2" fmla="*/ 2171700 w 2171700"/>
                <a:gd name="connsiteY2" fmla="*/ 1028065 h 2056130"/>
                <a:gd name="connsiteX3" fmla="*/ 1146480 w 2171700"/>
                <a:gd name="connsiteY3" fmla="*/ 1942008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5180"/>
                <a:gd name="connsiteY0" fmla="*/ 0 h 2056130"/>
                <a:gd name="connsiteX1" fmla="*/ 1146480 w 2175180"/>
                <a:gd name="connsiteY1" fmla="*/ 113208 h 2056130"/>
                <a:gd name="connsiteX2" fmla="*/ 2175180 w 2175180"/>
                <a:gd name="connsiteY2" fmla="*/ 1032180 h 2056130"/>
                <a:gd name="connsiteX3" fmla="*/ 1146480 w 2175180"/>
                <a:gd name="connsiteY3" fmla="*/ 1942008 h 2056130"/>
                <a:gd name="connsiteX4" fmla="*/ 0 w 2175180"/>
                <a:gd name="connsiteY4" fmla="*/ 2056130 h 2056130"/>
                <a:gd name="connsiteX5" fmla="*/ 0 w 2175180"/>
                <a:gd name="connsiteY5" fmla="*/ 0 h 2056130"/>
                <a:gd name="connsiteX0" fmla="*/ 0 w 2291389"/>
                <a:gd name="connsiteY0" fmla="*/ 0 h 2056130"/>
                <a:gd name="connsiteX1" fmla="*/ 1146480 w 2291389"/>
                <a:gd name="connsiteY1" fmla="*/ 113208 h 2056130"/>
                <a:gd name="connsiteX2" fmla="*/ 2291389 w 2291389"/>
                <a:gd name="connsiteY2" fmla="*/ 1030593 h 2056130"/>
                <a:gd name="connsiteX3" fmla="*/ 1146480 w 2291389"/>
                <a:gd name="connsiteY3" fmla="*/ 1942008 h 2056130"/>
                <a:gd name="connsiteX4" fmla="*/ 0 w 2291389"/>
                <a:gd name="connsiteY4" fmla="*/ 2056130 h 2056130"/>
                <a:gd name="connsiteX5" fmla="*/ 0 w 2291389"/>
                <a:gd name="connsiteY5" fmla="*/ 0 h 2056130"/>
                <a:gd name="connsiteX0" fmla="*/ 0 w 2291389"/>
                <a:gd name="connsiteY0" fmla="*/ 1 h 2056131"/>
                <a:gd name="connsiteX1" fmla="*/ 1147804 w 2291389"/>
                <a:gd name="connsiteY1" fmla="*/ 0 h 2056131"/>
                <a:gd name="connsiteX2" fmla="*/ 2291389 w 2291389"/>
                <a:gd name="connsiteY2" fmla="*/ 1030594 h 2056131"/>
                <a:gd name="connsiteX3" fmla="*/ 1146480 w 2291389"/>
                <a:gd name="connsiteY3" fmla="*/ 1942009 h 2056131"/>
                <a:gd name="connsiteX4" fmla="*/ 0 w 2291389"/>
                <a:gd name="connsiteY4" fmla="*/ 2056131 h 2056131"/>
                <a:gd name="connsiteX5" fmla="*/ 0 w 2291389"/>
                <a:gd name="connsiteY5" fmla="*/ 1 h 2056131"/>
                <a:gd name="connsiteX0" fmla="*/ 0 w 2291389"/>
                <a:gd name="connsiteY0" fmla="*/ 1 h 2056131"/>
                <a:gd name="connsiteX1" fmla="*/ 1147804 w 2291389"/>
                <a:gd name="connsiteY1" fmla="*/ 0 h 2056131"/>
                <a:gd name="connsiteX2" fmla="*/ 2291389 w 2291389"/>
                <a:gd name="connsiteY2" fmla="*/ 1030594 h 2056131"/>
                <a:gd name="connsiteX3" fmla="*/ 1147804 w 2291389"/>
                <a:gd name="connsiteY3" fmla="*/ 2056131 h 2056131"/>
                <a:gd name="connsiteX4" fmla="*/ 0 w 2291389"/>
                <a:gd name="connsiteY4" fmla="*/ 2056131 h 2056131"/>
                <a:gd name="connsiteX5" fmla="*/ 0 w 2291389"/>
                <a:gd name="connsiteY5" fmla="*/ 1 h 20561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2291389" h="2056131">
                  <a:moveTo>
                    <a:pt x="0" y="1"/>
                  </a:moveTo>
                  <a:lnTo>
                    <a:pt x="1147804" y="0"/>
                  </a:lnTo>
                  <a:lnTo>
                    <a:pt x="2291389" y="1030594"/>
                  </a:lnTo>
                  <a:lnTo>
                    <a:pt x="1147804" y="2056131"/>
                  </a:lnTo>
                  <a:lnTo>
                    <a:pt x="0" y="2056131"/>
                  </a:lnTo>
                  <a:lnTo>
                    <a:pt x="0" y="1"/>
                  </a:lnTo>
                  <a:close/>
                </a:path>
              </a:pathLst>
            </a:cu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21" name="Freeform 20"/>
            <xdr:cNvSpPr/>
          </xdr:nvSpPr>
          <xdr:spPr>
            <a:xfrm>
              <a:off x="-21167" y="0"/>
              <a:ext cx="2750516" cy="1492301"/>
            </a:xfrm>
            <a:custGeom>
              <a:avLst/>
              <a:gdLst>
                <a:gd name="connsiteX0" fmla="*/ 234087 w 2750516"/>
                <a:gd name="connsiteY0" fmla="*/ 1492300 h 1499616"/>
                <a:gd name="connsiteX1" fmla="*/ 0 w 2750516"/>
                <a:gd name="connsiteY1" fmla="*/ 1492300 h 1499616"/>
                <a:gd name="connsiteX2" fmla="*/ 1375258 w 2750516"/>
                <a:gd name="connsiteY2" fmla="*/ 0 h 1499616"/>
                <a:gd name="connsiteX3" fmla="*/ 2750516 w 2750516"/>
                <a:gd name="connsiteY3" fmla="*/ 1492300 h 1499616"/>
                <a:gd name="connsiteX4" fmla="*/ 2531060 w 2750516"/>
                <a:gd name="connsiteY4" fmla="*/ 1492300 h 1499616"/>
                <a:gd name="connsiteX5" fmla="*/ 1382573 w 2750516"/>
                <a:gd name="connsiteY5" fmla="*/ 226771 h 1499616"/>
                <a:gd name="connsiteX6" fmla="*/ 336500 w 2750516"/>
                <a:gd name="connsiteY6" fmla="*/ 1499616 h 1499616"/>
                <a:gd name="connsiteX7" fmla="*/ 234087 w 2750516"/>
                <a:gd name="connsiteY7" fmla="*/ 1492300 h 1499616"/>
                <a:gd name="connsiteX0" fmla="*/ 234087 w 2750516"/>
                <a:gd name="connsiteY0" fmla="*/ 1492300 h 1492300"/>
                <a:gd name="connsiteX1" fmla="*/ 0 w 2750516"/>
                <a:gd name="connsiteY1" fmla="*/ 1492300 h 1492300"/>
                <a:gd name="connsiteX2" fmla="*/ 1375258 w 2750516"/>
                <a:gd name="connsiteY2" fmla="*/ 0 h 1492300"/>
                <a:gd name="connsiteX3" fmla="*/ 2750516 w 2750516"/>
                <a:gd name="connsiteY3" fmla="*/ 1492300 h 1492300"/>
                <a:gd name="connsiteX4" fmla="*/ 2531060 w 2750516"/>
                <a:gd name="connsiteY4" fmla="*/ 1492300 h 1492300"/>
                <a:gd name="connsiteX5" fmla="*/ 1382573 w 2750516"/>
                <a:gd name="connsiteY5" fmla="*/ 226771 h 1492300"/>
                <a:gd name="connsiteX6" fmla="*/ 234087 w 2750516"/>
                <a:gd name="connsiteY6" fmla="*/ 1492300 h 14923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750516" h="1492300">
                  <a:moveTo>
                    <a:pt x="234087" y="1492300"/>
                  </a:moveTo>
                  <a:lnTo>
                    <a:pt x="0" y="1492300"/>
                  </a:lnTo>
                  <a:lnTo>
                    <a:pt x="1375258" y="0"/>
                  </a:lnTo>
                  <a:lnTo>
                    <a:pt x="2750516" y="1492300"/>
                  </a:lnTo>
                  <a:lnTo>
                    <a:pt x="2531060" y="1492300"/>
                  </a:lnTo>
                  <a:lnTo>
                    <a:pt x="1382573" y="226771"/>
                  </a:lnTo>
                  <a:lnTo>
                    <a:pt x="234087" y="1492300"/>
                  </a:lnTo>
                  <a:close/>
                </a:path>
              </a:pathLst>
            </a:cu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22" name="Freeform 21"/>
            <xdr:cNvSpPr/>
          </xdr:nvSpPr>
          <xdr:spPr>
            <a:xfrm>
              <a:off x="329184" y="358444"/>
              <a:ext cx="409652" cy="760781"/>
            </a:xfrm>
            <a:custGeom>
              <a:avLst/>
              <a:gdLst>
                <a:gd name="connsiteX0" fmla="*/ 14631 w 409652"/>
                <a:gd name="connsiteY0" fmla="*/ 760781 h 760781"/>
                <a:gd name="connsiteX1" fmla="*/ 0 w 409652"/>
                <a:gd name="connsiteY1" fmla="*/ 0 h 760781"/>
                <a:gd name="connsiteX2" fmla="*/ 395021 w 409652"/>
                <a:gd name="connsiteY2" fmla="*/ 0 h 760781"/>
                <a:gd name="connsiteX3" fmla="*/ 409652 w 409652"/>
                <a:gd name="connsiteY3" fmla="*/ 424282 h 760781"/>
                <a:gd name="connsiteX4" fmla="*/ 14631 w 409652"/>
                <a:gd name="connsiteY4" fmla="*/ 760781 h 7607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09652" h="760781">
                  <a:moveTo>
                    <a:pt x="14631" y="760781"/>
                  </a:moveTo>
                  <a:lnTo>
                    <a:pt x="0" y="0"/>
                  </a:lnTo>
                  <a:lnTo>
                    <a:pt x="395021" y="0"/>
                  </a:lnTo>
                  <a:lnTo>
                    <a:pt x="409652" y="424282"/>
                  </a:lnTo>
                  <a:lnTo>
                    <a:pt x="14631" y="760781"/>
                  </a:lnTo>
                  <a:close/>
                </a:path>
              </a:pathLst>
            </a:cu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23" name="Rectangle 22"/>
            <xdr:cNvSpPr/>
          </xdr:nvSpPr>
          <xdr:spPr>
            <a:xfrm>
              <a:off x="1141172" y="2055571"/>
              <a:ext cx="457200" cy="576149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grpSp>
          <xdr:nvGrpSpPr>
            <xdr:cNvPr id="24" name="Group 23"/>
            <xdr:cNvGrpSpPr/>
          </xdr:nvGrpSpPr>
          <xdr:grpSpPr>
            <a:xfrm>
              <a:off x="570586" y="1580083"/>
              <a:ext cx="342900" cy="339725"/>
              <a:chOff x="0" y="0"/>
              <a:chExt cx="342900" cy="339725"/>
            </a:xfrm>
          </xdr:grpSpPr>
          <xdr:sp macro="" textlink="">
            <xdr:nvSpPr>
              <xdr:cNvPr id="29" name="Rectangle 28"/>
              <xdr:cNvSpPr/>
            </xdr:nvSpPr>
            <xdr:spPr>
              <a:xfrm>
                <a:off x="0" y="0"/>
                <a:ext cx="342900" cy="339725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endParaRPr lang="en-IN"/>
              </a:p>
            </xdr:txBody>
          </xdr:sp>
          <xdr:cxnSp macro="">
            <xdr:nvCxnSpPr>
              <xdr:cNvPr id="30" name="Straight Connector 29"/>
              <xdr:cNvCxnSpPr/>
            </xdr:nvCxnSpPr>
            <xdr:spPr>
              <a:xfrm>
                <a:off x="168250" y="0"/>
                <a:ext cx="0" cy="33972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1" name="Straight Connector 30"/>
              <xdr:cNvCxnSpPr/>
            </xdr:nvCxnSpPr>
            <xdr:spPr>
              <a:xfrm>
                <a:off x="0" y="138989"/>
                <a:ext cx="342900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25" name="Group 24"/>
            <xdr:cNvGrpSpPr/>
          </xdr:nvGrpSpPr>
          <xdr:grpSpPr>
            <a:xfrm>
              <a:off x="1828800" y="1580083"/>
              <a:ext cx="342900" cy="339725"/>
              <a:chOff x="0" y="0"/>
              <a:chExt cx="342900" cy="339725"/>
            </a:xfrm>
          </xdr:grpSpPr>
          <xdr:sp macro="" textlink="">
            <xdr:nvSpPr>
              <xdr:cNvPr id="26" name="Rectangle 25"/>
              <xdr:cNvSpPr/>
            </xdr:nvSpPr>
            <xdr:spPr>
              <a:xfrm>
                <a:off x="0" y="0"/>
                <a:ext cx="342900" cy="339725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endParaRPr lang="en-IN"/>
              </a:p>
            </xdr:txBody>
          </xdr:sp>
          <xdr:cxnSp macro="">
            <xdr:nvCxnSpPr>
              <xdr:cNvPr id="27" name="Straight Connector 26"/>
              <xdr:cNvCxnSpPr/>
            </xdr:nvCxnSpPr>
            <xdr:spPr>
              <a:xfrm>
                <a:off x="168250" y="0"/>
                <a:ext cx="0" cy="33972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8" name="Straight Connector 27"/>
              <xdr:cNvCxnSpPr/>
            </xdr:nvCxnSpPr>
            <xdr:spPr>
              <a:xfrm>
                <a:off x="0" y="138989"/>
                <a:ext cx="342900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</xdr:grpSp>
    <xdr:clientData/>
  </xdr:twoCellAnchor>
</xdr:wsDr>
</file>

<file path=xl/queryTables/queryTable1.xml><?xml version="1.0" encoding="utf-8"?>
<queryTable xmlns="http://schemas.openxmlformats.org/spreadsheetml/2006/main" name="Login.accdb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Login ID" tableColumnId="2"/>
      <queryTableField id="3" name="Passwor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Login.accdb" displayName="Table_Login.accdb" ref="B5:D7" tableType="queryTable" totalsRowShown="0" tableBorderDxfId="0">
  <autoFilter ref="B5:D7"/>
  <tableColumns count="3">
    <tableColumn id="1" uniqueName="1" name="ID" queryTableFieldId="1"/>
    <tableColumn id="2" uniqueName="2" name="Login ID" queryTableFieldId="2"/>
    <tableColumn id="3" uniqueName="3" name="Passwor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N7"/>
  <sheetViews>
    <sheetView workbookViewId="0"/>
  </sheetViews>
  <sheetFormatPr defaultRowHeight="15" x14ac:dyDescent="0.25"/>
  <cols>
    <col min="2" max="2" width="9.140625" customWidth="1"/>
    <col min="8" max="8" width="2.7109375" customWidth="1"/>
    <col min="12" max="12" width="18" customWidth="1"/>
    <col min="13" max="13" width="2.7109375" customWidth="1"/>
    <col min="14" max="14" width="9.140625" hidden="1" customWidth="1"/>
  </cols>
  <sheetData>
    <row r="2" spans="3:7" ht="15" customHeight="1" x14ac:dyDescent="0.25">
      <c r="C2" s="1"/>
      <c r="D2" s="1"/>
      <c r="E2" s="1"/>
      <c r="F2" s="1"/>
      <c r="G2" s="1"/>
    </row>
    <row r="3" spans="3:7" ht="15" customHeight="1" x14ac:dyDescent="0.25">
      <c r="C3" s="1"/>
      <c r="D3" s="1"/>
      <c r="E3" s="1"/>
      <c r="F3" s="1"/>
      <c r="G3" s="1"/>
    </row>
    <row r="4" spans="3:7" ht="15.75" customHeight="1" x14ac:dyDescent="0.25">
      <c r="C4" s="1"/>
      <c r="D4" s="1"/>
      <c r="E4" s="1"/>
      <c r="F4" s="1"/>
      <c r="G4" s="1"/>
    </row>
    <row r="5" spans="3:7" ht="15" customHeight="1" x14ac:dyDescent="0.25">
      <c r="C5" s="1"/>
      <c r="D5" s="1"/>
      <c r="E5" s="1"/>
      <c r="F5" s="1"/>
      <c r="G5" s="1"/>
    </row>
    <row r="6" spans="3:7" ht="15" customHeight="1" x14ac:dyDescent="0.25">
      <c r="C6" s="1"/>
      <c r="D6" s="1"/>
      <c r="E6" s="1"/>
      <c r="F6" s="1"/>
      <c r="G6" s="1"/>
    </row>
    <row r="7" spans="3:7" ht="15.75" customHeight="1" x14ac:dyDescent="0.25">
      <c r="C7" s="1"/>
      <c r="D7" s="1"/>
      <c r="E7" s="1"/>
      <c r="F7" s="1"/>
      <c r="G7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2"/>
  <sheetViews>
    <sheetView tabSelected="1" topLeftCell="B1" zoomScale="130" zoomScaleNormal="130" workbookViewId="0">
      <selection activeCell="B7" sqref="B7"/>
    </sheetView>
  </sheetViews>
  <sheetFormatPr defaultRowHeight="15" x14ac:dyDescent="0.25"/>
  <cols>
    <col min="1" max="1" width="0" hidden="1" customWidth="1"/>
    <col min="2" max="2" width="5.140625" customWidth="1"/>
    <col min="3" max="3" width="10.28515625" customWidth="1"/>
    <col min="4" max="4" width="11.7109375" customWidth="1"/>
    <col min="5" max="5" width="18" customWidth="1"/>
    <col min="6" max="6" width="19" customWidth="1"/>
    <col min="10" max="10" width="9.140625" customWidth="1"/>
  </cols>
  <sheetData>
    <row r="1" spans="1:11" ht="15.75" thickBot="1" x14ac:dyDescent="0.3">
      <c r="A1" t="s">
        <v>34</v>
      </c>
    </row>
    <row r="2" spans="1:11" ht="18.75" customHeight="1" x14ac:dyDescent="0.25">
      <c r="A2" t="s">
        <v>35</v>
      </c>
      <c r="B2" s="31" t="s">
        <v>1</v>
      </c>
      <c r="C2" s="32"/>
      <c r="D2" s="106">
        <v>4500</v>
      </c>
      <c r="E2" s="107"/>
      <c r="F2" s="108"/>
      <c r="G2" s="41" t="str">
        <f>IF(D2=0,"","Rs")</f>
        <v>Rs</v>
      </c>
      <c r="H2" s="35" t="str">
        <f>IF(D2=0,"",SpellNumber(D2))</f>
        <v xml:space="preserve"> Four Thousand Five Hundred  </v>
      </c>
      <c r="I2" s="36"/>
      <c r="J2" s="36"/>
      <c r="K2" s="37"/>
    </row>
    <row r="3" spans="1:11" ht="15.75" customHeight="1" thickBot="1" x14ac:dyDescent="0.3">
      <c r="A3" t="s">
        <v>36</v>
      </c>
      <c r="B3" s="33"/>
      <c r="C3" s="34"/>
      <c r="D3" s="109"/>
      <c r="E3" s="110"/>
      <c r="F3" s="111"/>
      <c r="G3" s="42"/>
      <c r="H3" s="38"/>
      <c r="I3" s="39"/>
      <c r="J3" s="39"/>
      <c r="K3" s="40"/>
    </row>
    <row r="4" spans="1:11" x14ac:dyDescent="0.25">
      <c r="A4" t="s">
        <v>37</v>
      </c>
      <c r="B4" s="114" t="s">
        <v>34</v>
      </c>
      <c r="C4" s="115" t="s">
        <v>32</v>
      </c>
      <c r="D4" s="116">
        <f>DATEVALUE("1"&amp;B4)</f>
        <v>44197</v>
      </c>
      <c r="E4" s="113" t="s">
        <v>33</v>
      </c>
      <c r="F4" s="112">
        <f>EOMONTH(D4,4)</f>
        <v>44347</v>
      </c>
    </row>
    <row r="5" spans="1:11" x14ac:dyDescent="0.25">
      <c r="A5" t="s">
        <v>38</v>
      </c>
      <c r="B5" t="s">
        <v>46</v>
      </c>
      <c r="C5" t="s">
        <v>47</v>
      </c>
      <c r="D5" t="s">
        <v>48</v>
      </c>
    </row>
    <row r="6" spans="1:11" x14ac:dyDescent="0.25">
      <c r="A6" t="s">
        <v>39</v>
      </c>
      <c r="B6">
        <v>1</v>
      </c>
      <c r="C6" t="s">
        <v>49</v>
      </c>
      <c r="D6" t="s">
        <v>50</v>
      </c>
    </row>
    <row r="7" spans="1:11" x14ac:dyDescent="0.25">
      <c r="A7" t="s">
        <v>40</v>
      </c>
      <c r="B7">
        <v>2</v>
      </c>
      <c r="C7" t="s">
        <v>51</v>
      </c>
      <c r="D7" t="s">
        <v>50</v>
      </c>
    </row>
    <row r="8" spans="1:11" x14ac:dyDescent="0.25">
      <c r="A8" t="s">
        <v>41</v>
      </c>
    </row>
    <row r="9" spans="1:11" x14ac:dyDescent="0.25">
      <c r="A9" t="s">
        <v>42</v>
      </c>
    </row>
    <row r="10" spans="1:11" x14ac:dyDescent="0.25">
      <c r="A10" t="s">
        <v>43</v>
      </c>
    </row>
    <row r="11" spans="1:11" x14ac:dyDescent="0.25">
      <c r="A11" t="s">
        <v>44</v>
      </c>
    </row>
    <row r="12" spans="1:11" x14ac:dyDescent="0.25">
      <c r="A12" t="s">
        <v>45</v>
      </c>
    </row>
  </sheetData>
  <mergeCells count="4">
    <mergeCell ref="B2:C3"/>
    <mergeCell ref="D2:F3"/>
    <mergeCell ref="H2:K3"/>
    <mergeCell ref="G2:G3"/>
  </mergeCells>
  <dataValidations count="1">
    <dataValidation type="list" allowBlank="1" showInputMessage="1" showErrorMessage="1" sqref="B4">
      <formula1>$A$1:$A$12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P21"/>
  <sheetViews>
    <sheetView workbookViewId="0"/>
  </sheetViews>
  <sheetFormatPr defaultRowHeight="15" x14ac:dyDescent="0.25"/>
  <cols>
    <col min="1" max="1" width="2.42578125" customWidth="1"/>
    <col min="2" max="2" width="13.85546875" customWidth="1"/>
    <col min="3" max="3" width="12.140625" customWidth="1"/>
    <col min="4" max="4" width="8.42578125" customWidth="1"/>
    <col min="5" max="5" width="15.28515625" customWidth="1"/>
    <col min="6" max="6" width="13.5703125" customWidth="1"/>
    <col min="7" max="7" width="5.42578125" customWidth="1"/>
    <col min="13" max="13" width="10.28515625" customWidth="1"/>
    <col min="14" max="14" width="9.140625" customWidth="1"/>
    <col min="15" max="15" width="13.140625" customWidth="1"/>
    <col min="16" max="16" width="11.28515625" customWidth="1"/>
  </cols>
  <sheetData>
    <row r="1" spans="2:16" ht="15.75" thickBot="1" x14ac:dyDescent="0.3"/>
    <row r="2" spans="2:16" ht="15" customHeight="1" x14ac:dyDescent="0.25">
      <c r="B2" s="81" t="s">
        <v>0</v>
      </c>
      <c r="C2" s="82"/>
      <c r="D2" s="82"/>
      <c r="E2" s="82"/>
      <c r="F2" s="83"/>
      <c r="H2" s="87" t="s">
        <v>17</v>
      </c>
      <c r="I2" s="88"/>
      <c r="J2" s="88"/>
      <c r="K2" s="88"/>
      <c r="L2" s="88"/>
      <c r="M2" s="88"/>
      <c r="N2" s="88"/>
      <c r="O2" s="89"/>
    </row>
    <row r="3" spans="2:16" ht="15.75" customHeight="1" thickBot="1" x14ac:dyDescent="0.3">
      <c r="B3" s="84"/>
      <c r="C3" s="85"/>
      <c r="D3" s="85"/>
      <c r="E3" s="85"/>
      <c r="F3" s="86"/>
      <c r="H3" s="90"/>
      <c r="I3" s="91"/>
      <c r="J3" s="91"/>
      <c r="K3" s="91"/>
      <c r="L3" s="92"/>
      <c r="M3" s="91"/>
      <c r="N3" s="91"/>
      <c r="O3" s="93"/>
    </row>
    <row r="4" spans="2:16" ht="15.75" thickBot="1" x14ac:dyDescent="0.3">
      <c r="H4" s="94" t="s">
        <v>2</v>
      </c>
      <c r="I4" s="95"/>
      <c r="J4" s="95"/>
      <c r="K4" s="96"/>
      <c r="M4" s="94" t="s">
        <v>3</v>
      </c>
      <c r="N4" s="95"/>
      <c r="O4" s="96"/>
    </row>
    <row r="5" spans="2:16" ht="15" customHeight="1" x14ac:dyDescent="0.25">
      <c r="B5" s="77" t="s">
        <v>2</v>
      </c>
      <c r="C5" s="78"/>
      <c r="E5" s="77" t="s">
        <v>3</v>
      </c>
      <c r="F5" s="78"/>
      <c r="H5" s="97"/>
      <c r="I5" s="98"/>
      <c r="J5" s="98"/>
      <c r="K5" s="99"/>
      <c r="M5" s="97"/>
      <c r="N5" s="98"/>
      <c r="O5" s="99"/>
    </row>
    <row r="6" spans="2:16" ht="15.75" customHeight="1" thickBot="1" x14ac:dyDescent="0.3">
      <c r="B6" s="79"/>
      <c r="C6" s="80"/>
      <c r="E6" s="79"/>
      <c r="F6" s="80"/>
      <c r="H6" s="100"/>
      <c r="I6" s="101"/>
      <c r="J6" s="102"/>
      <c r="K6" s="11"/>
      <c r="M6" s="103" t="s">
        <v>21</v>
      </c>
      <c r="N6" s="104"/>
      <c r="O6" s="105">
        <v>5</v>
      </c>
    </row>
    <row r="7" spans="2:16" x14ac:dyDescent="0.25">
      <c r="H7" s="68" t="s">
        <v>21</v>
      </c>
      <c r="I7" s="69"/>
      <c r="J7" s="69"/>
      <c r="K7" s="30">
        <v>5</v>
      </c>
      <c r="M7" s="103"/>
      <c r="N7" s="104"/>
      <c r="O7" s="105"/>
    </row>
    <row r="8" spans="2:16" x14ac:dyDescent="0.25">
      <c r="B8" s="5" t="s">
        <v>4</v>
      </c>
      <c r="C8" s="6" t="s">
        <v>5</v>
      </c>
      <c r="E8" s="5" t="s">
        <v>4</v>
      </c>
      <c r="H8" s="56" t="s">
        <v>18</v>
      </c>
      <c r="I8" s="57"/>
      <c r="J8" s="70">
        <v>10</v>
      </c>
      <c r="K8" s="71"/>
      <c r="M8" s="60" t="s">
        <v>26</v>
      </c>
      <c r="N8" s="61"/>
      <c r="O8" s="28">
        <f>O9/2</f>
        <v>2.5</v>
      </c>
    </row>
    <row r="9" spans="2:16" x14ac:dyDescent="0.25">
      <c r="B9" s="5"/>
      <c r="C9" s="5"/>
      <c r="E9" s="3" t="s">
        <v>27</v>
      </c>
      <c r="F9" s="2">
        <v>3.1429999999999998</v>
      </c>
      <c r="H9" s="56" t="s">
        <v>19</v>
      </c>
      <c r="I9" s="57"/>
      <c r="J9" s="70">
        <v>5</v>
      </c>
      <c r="K9" s="71"/>
      <c r="M9" s="56" t="s">
        <v>22</v>
      </c>
      <c r="N9" s="57"/>
      <c r="O9" s="29">
        <v>5</v>
      </c>
    </row>
    <row r="10" spans="2:16" ht="15.75" thickBot="1" x14ac:dyDescent="0.3">
      <c r="B10" s="6" t="s">
        <v>13</v>
      </c>
      <c r="C10" s="6" t="s">
        <v>6</v>
      </c>
      <c r="E10" s="5" t="s">
        <v>13</v>
      </c>
      <c r="F10" s="4" t="s">
        <v>14</v>
      </c>
      <c r="H10" s="66" t="s">
        <v>20</v>
      </c>
      <c r="I10" s="67"/>
      <c r="J10" s="72">
        <v>10</v>
      </c>
      <c r="K10" s="73"/>
      <c r="M10" s="56" t="s">
        <v>20</v>
      </c>
      <c r="N10" s="57"/>
      <c r="O10" s="29">
        <v>5</v>
      </c>
    </row>
    <row r="11" spans="2:16" ht="15.75" customHeight="1" x14ac:dyDescent="0.25">
      <c r="B11" s="5" t="s">
        <v>7</v>
      </c>
      <c r="C11" s="6" t="s">
        <v>12</v>
      </c>
      <c r="E11" t="s">
        <v>16</v>
      </c>
      <c r="F11" t="s">
        <v>15</v>
      </c>
      <c r="H11" s="63"/>
      <c r="I11" s="64"/>
      <c r="J11" s="65"/>
      <c r="K11" s="13">
        <f>2*(J8*J9+J8*J10+J9*J10)</f>
        <v>400</v>
      </c>
      <c r="M11" s="12" t="s">
        <v>23</v>
      </c>
      <c r="N11" s="15"/>
      <c r="O11" s="24">
        <f>3.143*O8*O8*O10</f>
        <v>98.21875</v>
      </c>
      <c r="P11" s="25"/>
    </row>
    <row r="12" spans="2:16" ht="15.75" thickBot="1" x14ac:dyDescent="0.3">
      <c r="B12" s="5" t="s">
        <v>8</v>
      </c>
      <c r="C12" s="6" t="s">
        <v>10</v>
      </c>
      <c r="E12" s="5" t="s">
        <v>9</v>
      </c>
      <c r="F12" t="s">
        <v>11</v>
      </c>
      <c r="H12" s="74"/>
      <c r="I12" s="75"/>
      <c r="J12" s="76"/>
      <c r="K12" s="14"/>
      <c r="M12" s="58" t="s">
        <v>24</v>
      </c>
      <c r="N12" s="59"/>
      <c r="O12" s="62">
        <f>(3.143*O8*O8*O6)</f>
        <v>98.21875</v>
      </c>
      <c r="P12" s="43"/>
    </row>
    <row r="13" spans="2:16" ht="15.75" thickBot="1" x14ac:dyDescent="0.3">
      <c r="B13" s="5" t="s">
        <v>9</v>
      </c>
      <c r="C13" s="6" t="s">
        <v>11</v>
      </c>
      <c r="M13" s="58" t="s">
        <v>25</v>
      </c>
      <c r="N13" s="59"/>
      <c r="O13" s="62"/>
      <c r="P13" s="44"/>
    </row>
    <row r="14" spans="2:16" x14ac:dyDescent="0.25">
      <c r="B14" s="5"/>
      <c r="C14" s="5"/>
      <c r="H14" s="18">
        <v>4</v>
      </c>
      <c r="I14" s="7">
        <f>H14*100</f>
        <v>400</v>
      </c>
      <c r="M14" s="49" t="s">
        <v>29</v>
      </c>
      <c r="N14" s="50"/>
      <c r="O14" s="26">
        <f>(O11*28.34)</f>
        <v>2783.5193749999999</v>
      </c>
    </row>
    <row r="15" spans="2:16" x14ac:dyDescent="0.25">
      <c r="B15" s="5"/>
      <c r="C15" s="5"/>
      <c r="H15" s="19">
        <v>1900</v>
      </c>
      <c r="I15" s="9">
        <f>(H15*0.01)</f>
        <v>19</v>
      </c>
      <c r="M15" s="49" t="s">
        <v>30</v>
      </c>
      <c r="N15" s="50"/>
      <c r="O15" s="27">
        <f>O12*7.48</f>
        <v>734.6762500000001</v>
      </c>
    </row>
    <row r="16" spans="2:16" x14ac:dyDescent="0.25">
      <c r="B16" s="5"/>
      <c r="C16" s="5"/>
      <c r="H16" s="20">
        <v>6</v>
      </c>
      <c r="I16" s="10">
        <f>(H16*12)</f>
        <v>72</v>
      </c>
      <c r="M16" s="45" t="s">
        <v>28</v>
      </c>
      <c r="N16" s="46"/>
      <c r="O16" s="51">
        <f>(O11*7.48)</f>
        <v>734.6762500000001</v>
      </c>
    </row>
    <row r="17" spans="8:16" ht="14.25" customHeight="1" thickBot="1" x14ac:dyDescent="0.3">
      <c r="H17" s="21">
        <v>36</v>
      </c>
      <c r="I17" s="16">
        <f>(H17/12)</f>
        <v>3</v>
      </c>
      <c r="M17" s="47"/>
      <c r="N17" s="48"/>
      <c r="O17" s="52"/>
    </row>
    <row r="18" spans="8:16" x14ac:dyDescent="0.25">
      <c r="H18" s="22">
        <v>50</v>
      </c>
      <c r="I18" s="8">
        <f>(H18*0.001)</f>
        <v>0.05</v>
      </c>
    </row>
    <row r="19" spans="8:16" ht="15.75" thickBot="1" x14ac:dyDescent="0.3">
      <c r="H19" s="23">
        <v>89</v>
      </c>
      <c r="I19" s="17">
        <f>(H19*1000)</f>
        <v>89000</v>
      </c>
    </row>
    <row r="20" spans="8:16" ht="15.75" thickBot="1" x14ac:dyDescent="0.3">
      <c r="H20" s="53" t="s">
        <v>31</v>
      </c>
      <c r="I20" s="54"/>
      <c r="J20" s="55"/>
      <c r="P20">
        <f>5/2</f>
        <v>2.5</v>
      </c>
    </row>
    <row r="21" spans="8:16" x14ac:dyDescent="0.25">
      <c r="N21">
        <f>40/12</f>
        <v>3.3333333333333335</v>
      </c>
    </row>
  </sheetData>
  <mergeCells count="30">
    <mergeCell ref="B5:C6"/>
    <mergeCell ref="E5:F6"/>
    <mergeCell ref="B2:F3"/>
    <mergeCell ref="H2:O3"/>
    <mergeCell ref="H4:K5"/>
    <mergeCell ref="H6:J6"/>
    <mergeCell ref="M4:O5"/>
    <mergeCell ref="M6:N7"/>
    <mergeCell ref="O6:O7"/>
    <mergeCell ref="H7:J7"/>
    <mergeCell ref="J8:K8"/>
    <mergeCell ref="J9:K9"/>
    <mergeCell ref="J10:K10"/>
    <mergeCell ref="H12:J12"/>
    <mergeCell ref="H8:I8"/>
    <mergeCell ref="H9:I9"/>
    <mergeCell ref="H20:J20"/>
    <mergeCell ref="M10:N10"/>
    <mergeCell ref="M13:N13"/>
    <mergeCell ref="M8:N8"/>
    <mergeCell ref="O12:O13"/>
    <mergeCell ref="H11:J11"/>
    <mergeCell ref="H10:I10"/>
    <mergeCell ref="M12:N12"/>
    <mergeCell ref="M9:N9"/>
    <mergeCell ref="P12:P13"/>
    <mergeCell ref="M16:N17"/>
    <mergeCell ref="M15:N15"/>
    <mergeCell ref="M14:N14"/>
    <mergeCell ref="O16:O1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Invast</vt:lpstr>
      <vt:lpstr>Tank info</vt:lpstr>
      <vt:lpstr>Fish Calculation</vt:lpstr>
      <vt:lpstr>Cheamical Info</vt:lpstr>
      <vt:lpstr>Income</vt:lpstr>
      <vt:lpstr>Lose!!!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swastimisry2@gmail.com</dc:creator>
  <cp:lastModifiedBy>swastimisry2@gmail.com</cp:lastModifiedBy>
  <dcterms:created xsi:type="dcterms:W3CDTF">2021-08-04T13:04:39Z</dcterms:created>
  <dcterms:modified xsi:type="dcterms:W3CDTF">2021-08-06T06:13:15Z</dcterms:modified>
</cp:coreProperties>
</file>